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tolkien/work/misc/R/"/>
    </mc:Choice>
  </mc:AlternateContent>
  <xr:revisionPtr revIDLastSave="0" documentId="13_ncr:1_{A10F2053-B1E3-FC4B-BB36-9B0A6658FE81}" xr6:coauthVersionLast="43" xr6:coauthVersionMax="43" xr10:uidLastSave="{00000000-0000-0000-0000-000000000000}"/>
  <bookViews>
    <workbookView xWindow="1760" yWindow="460" windowWidth="22680" windowHeight="14700" activeTab="6" xr2:uid="{AE66FE3F-8D75-F549-9ECB-BAE381A2E5E5}"/>
  </bookViews>
  <sheets>
    <sheet name="Sheet1" sheetId="1" r:id="rId1"/>
    <sheet name="Sheet2" sheetId="2" r:id="rId2"/>
    <sheet name="모평균 비교.2" sheetId="4" r:id="rId3"/>
    <sheet name="모평균 비교.t-paired" sheetId="5" r:id="rId4"/>
    <sheet name="2장 그래프" sheetId="6" r:id="rId5"/>
    <sheet name="3장 데이타베이스" sheetId="7" r:id="rId6"/>
    <sheet name="5장 표본분포" sheetId="8" r:id="rId7"/>
  </sheets>
  <definedNames>
    <definedName name="_xlchart.v1.1" hidden="1">'5장 표본분포'!$B$3:$B$8</definedName>
    <definedName name="_xlchart.v2.0" hidden="1">'5장 표본분포'!$B$3:$B$8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8" l="1"/>
  <c r="B10" i="8"/>
  <c r="B4" i="8"/>
  <c r="B5" i="8"/>
  <c r="B6" i="8"/>
  <c r="B7" i="8"/>
  <c r="B8" i="8"/>
  <c r="B3" i="8"/>
  <c r="C4" i="8"/>
  <c r="C5" i="8"/>
  <c r="C6" i="8"/>
  <c r="C7" i="8"/>
  <c r="C8" i="8"/>
  <c r="C3" i="8"/>
  <c r="C2" i="8"/>
  <c r="B2" i="8"/>
  <c r="J34" i="7" l="1"/>
  <c r="J35" i="7"/>
  <c r="J32" i="7"/>
  <c r="J30" i="7"/>
  <c r="J28" i="7"/>
  <c r="J29" i="7"/>
  <c r="E44" i="7"/>
  <c r="C39" i="7"/>
  <c r="C30" i="7"/>
  <c r="B31" i="7"/>
  <c r="B32" i="7" s="1"/>
  <c r="J7" i="7"/>
  <c r="J8" i="7"/>
  <c r="J9" i="7"/>
  <c r="J10" i="7"/>
  <c r="J11" i="7"/>
  <c r="J12" i="7"/>
  <c r="J6" i="7"/>
  <c r="F24" i="7"/>
  <c r="F23" i="7"/>
  <c r="F22" i="7"/>
  <c r="G21" i="7"/>
  <c r="F21" i="7"/>
  <c r="G20" i="7"/>
  <c r="F20" i="7"/>
  <c r="G19" i="7"/>
  <c r="F19" i="7"/>
  <c r="F18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6" i="7"/>
  <c r="E43" i="7"/>
  <c r="D36" i="6"/>
  <c r="D35" i="6"/>
  <c r="F27" i="6"/>
  <c r="F28" i="6"/>
  <c r="F32" i="6" s="1"/>
  <c r="F29" i="6"/>
  <c r="F30" i="6"/>
  <c r="F31" i="6"/>
  <c r="F26" i="6"/>
  <c r="F25" i="6"/>
  <c r="D34" i="6"/>
  <c r="E32" i="6"/>
  <c r="E26" i="6"/>
  <c r="E27" i="6"/>
  <c r="E28" i="6"/>
  <c r="E29" i="6"/>
  <c r="E30" i="6"/>
  <c r="E31" i="6"/>
  <c r="E25" i="6"/>
  <c r="D32" i="6"/>
  <c r="B33" i="7" l="1"/>
  <c r="C32" i="7"/>
  <c r="C31" i="7"/>
  <c r="G20" i="5"/>
  <c r="G19" i="5"/>
  <c r="G22" i="5"/>
  <c r="G21" i="5"/>
  <c r="B34" i="7" l="1"/>
  <c r="C33" i="7"/>
  <c r="P12" i="5"/>
  <c r="P11" i="5"/>
  <c r="P10" i="5"/>
  <c r="P9" i="5"/>
  <c r="P8" i="5"/>
  <c r="P6" i="5"/>
  <c r="P5" i="5"/>
  <c r="P4" i="5"/>
  <c r="N5" i="5"/>
  <c r="N6" i="5"/>
  <c r="N7" i="5"/>
  <c r="N8" i="5"/>
  <c r="N9" i="5"/>
  <c r="N10" i="5"/>
  <c r="N11" i="5"/>
  <c r="N12" i="5"/>
  <c r="N13" i="5"/>
  <c r="N14" i="5"/>
  <c r="N15" i="5"/>
  <c r="N4" i="5"/>
  <c r="M6" i="5"/>
  <c r="B35" i="7" l="1"/>
  <c r="C34" i="7"/>
  <c r="L8" i="4"/>
  <c r="L19" i="4" s="1"/>
  <c r="K8" i="4"/>
  <c r="K9" i="4" s="1"/>
  <c r="L7" i="4"/>
  <c r="L18" i="4" s="1"/>
  <c r="K7" i="4"/>
  <c r="K18" i="4" s="1"/>
  <c r="L6" i="4"/>
  <c r="L17" i="4" s="1"/>
  <c r="K6" i="4"/>
  <c r="K17" i="4" s="1"/>
  <c r="B36" i="7" l="1"/>
  <c r="C35" i="7"/>
  <c r="K19" i="4"/>
  <c r="M21" i="4" s="1"/>
  <c r="M20" i="4"/>
  <c r="L9" i="4"/>
  <c r="K11" i="4" s="1"/>
  <c r="K10" i="4"/>
  <c r="B37" i="7" l="1"/>
  <c r="C36" i="7"/>
  <c r="K22" i="4"/>
  <c r="K21" i="4"/>
  <c r="P23" i="2"/>
  <c r="O20" i="2"/>
  <c r="O19" i="2"/>
  <c r="O18" i="2"/>
  <c r="O23" i="2" s="1"/>
  <c r="M23" i="2"/>
  <c r="L23" i="2"/>
  <c r="H20" i="2"/>
  <c r="I23" i="2" s="1"/>
  <c r="H19" i="2"/>
  <c r="H18" i="2"/>
  <c r="H23" i="2" s="1"/>
  <c r="E18" i="2"/>
  <c r="E23" i="2"/>
  <c r="E20" i="2"/>
  <c r="E19" i="2"/>
  <c r="F23" i="2" s="1"/>
  <c r="B20" i="2"/>
  <c r="B19" i="2"/>
  <c r="C23" i="2" s="1"/>
  <c r="B18" i="2"/>
  <c r="B23" i="2" s="1"/>
  <c r="E15" i="1"/>
  <c r="G15" i="1"/>
  <c r="M19" i="1"/>
  <c r="M18" i="1"/>
  <c r="M17" i="1"/>
  <c r="I14" i="1"/>
  <c r="G14" i="1"/>
  <c r="F14" i="1"/>
  <c r="B38" i="7" l="1"/>
  <c r="C37" i="7"/>
  <c r="K26" i="4"/>
  <c r="K24" i="4"/>
  <c r="K25" i="4"/>
  <c r="K23" i="4"/>
  <c r="I10" i="1"/>
  <c r="G10" i="1"/>
  <c r="E10" i="1"/>
  <c r="K19" i="1"/>
  <c r="K18" i="1"/>
  <c r="K20" i="1" s="1"/>
  <c r="G6" i="1" s="1"/>
  <c r="I6" i="1" s="1"/>
  <c r="K17" i="1"/>
  <c r="E6" i="1" s="1"/>
  <c r="I4" i="1"/>
  <c r="E5" i="1"/>
  <c r="J19" i="1"/>
  <c r="J18" i="1"/>
  <c r="J20" i="1" s="1"/>
  <c r="G5" i="1" s="1"/>
  <c r="I5" i="1" s="1"/>
  <c r="G4" i="1"/>
  <c r="E4" i="1"/>
  <c r="G3" i="1"/>
  <c r="I3" i="1" s="1"/>
  <c r="F3" i="1"/>
  <c r="C26" i="1"/>
  <c r="C24" i="1"/>
  <c r="B26" i="1"/>
  <c r="B24" i="1"/>
  <c r="B18" i="1"/>
  <c r="B17" i="1"/>
  <c r="E17" i="1" s="1"/>
  <c r="E20" i="1" s="1"/>
  <c r="E21" i="1" s="1"/>
  <c r="B25" i="1"/>
  <c r="B23" i="1"/>
  <c r="B19" i="1"/>
  <c r="B40" i="7" l="1"/>
  <c r="C38" i="7"/>
  <c r="F24" i="1"/>
  <c r="E23" i="1"/>
  <c r="E24" i="1"/>
  <c r="F21" i="1"/>
  <c r="E25" i="1"/>
  <c r="F26" i="1" s="1"/>
  <c r="B41" i="7" l="1"/>
  <c r="C40" i="7"/>
  <c r="E26" i="1"/>
  <c r="B42" i="7" l="1"/>
  <c r="C41" i="7"/>
  <c r="B43" i="7" l="1"/>
  <c r="C42" i="7"/>
  <c r="B44" i="7" l="1"/>
  <c r="C43" i="7"/>
  <c r="B45" i="7" l="1"/>
  <c r="C44" i="7"/>
  <c r="B46" i="7" l="1"/>
  <c r="C45" i="7"/>
  <c r="B47" i="7" l="1"/>
  <c r="C46" i="7"/>
  <c r="B48" i="7" l="1"/>
  <c r="C47" i="7"/>
  <c r="B49" i="7" l="1"/>
  <c r="C49" i="7" s="1"/>
  <c r="C48" i="7"/>
</calcChain>
</file>

<file path=xl/sharedStrings.xml><?xml version="1.0" encoding="utf-8"?>
<sst xmlns="http://schemas.openxmlformats.org/spreadsheetml/2006/main" count="268" uniqueCount="213">
  <si>
    <t>t_(15-1),0.025</t>
    <phoneticPr fontId="1" type="noConversion"/>
  </si>
  <si>
    <t>X`</t>
    <phoneticPr fontId="1" type="noConversion"/>
  </si>
  <si>
    <t>X`(if 1)</t>
    <phoneticPr fontId="1" type="noConversion"/>
  </si>
  <si>
    <t>X`(if 2)</t>
    <phoneticPr fontId="1" type="noConversion"/>
  </si>
  <si>
    <t>Var(X`)</t>
    <phoneticPr fontId="1" type="noConversion"/>
  </si>
  <si>
    <t>[X` - t_... S/sqrt(n), X` + t_... S/sqrt(n)]</t>
    <phoneticPr fontId="1" type="noConversion"/>
  </si>
  <si>
    <t>t_... S/sqrt(n)</t>
    <phoneticPr fontId="1" type="noConversion"/>
  </si>
  <si>
    <t>[</t>
    <phoneticPr fontId="1" type="noConversion"/>
  </si>
  <si>
    <t>]</t>
    <phoneticPr fontId="1" type="noConversion"/>
  </si>
  <si>
    <t>Var(X` if 1)</t>
    <phoneticPr fontId="1" type="noConversion"/>
  </si>
  <si>
    <t>Var(X` if 2)</t>
    <phoneticPr fontId="1" type="noConversion"/>
  </si>
  <si>
    <t>P(|(X` - u)/S/sqrt(n)| &lt;= t_(15-1),0.025) = 1 - a = 0.95</t>
    <phoneticPr fontId="1" type="noConversion"/>
  </si>
  <si>
    <t>p(|(X` - u)/S/sqrt(n)| &lt;= t_(15-1),0.025) = 1 - a = 0.95</t>
    <phoneticPr fontId="1" type="noConversion"/>
  </si>
  <si>
    <t>T = (X` - u)/(S /sqrt(n))</t>
    <phoneticPr fontId="1" type="noConversion"/>
  </si>
  <si>
    <t>t_(n-1),a</t>
    <phoneticPr fontId="1" type="noConversion"/>
  </si>
  <si>
    <t>t_(n-1),a/2</t>
    <phoneticPr fontId="1" type="noConversion"/>
  </si>
  <si>
    <t>모평균 가설 검정</t>
    <phoneticPr fontId="1" type="noConversion"/>
  </si>
  <si>
    <t>통계적 추정 (모평균 추정)</t>
    <phoneticPr fontId="1" type="noConversion"/>
  </si>
  <si>
    <t>reject H0</t>
    <phoneticPr fontId="1" type="noConversion"/>
  </si>
  <si>
    <t>S^2</t>
    <phoneticPr fontId="1" type="noConversion"/>
  </si>
  <si>
    <t>T=(X`-u)/(S /sqrt(n))</t>
    <phoneticPr fontId="1" type="noConversion"/>
  </si>
  <si>
    <t>P(T &gt; t_(n-1),a)</t>
    <phoneticPr fontId="1" type="noConversion"/>
  </si>
  <si>
    <t>모비율 가설 검정</t>
    <phoneticPr fontId="1" type="noConversion"/>
  </si>
  <si>
    <t>Z = (p` - p0)/sqrt(p0(1-p0)/n)</t>
    <phoneticPr fontId="1" type="noConversion"/>
  </si>
  <si>
    <t>z_a</t>
    <phoneticPr fontId="1" type="noConversion"/>
  </si>
  <si>
    <t>z_a/2</t>
    <phoneticPr fontId="1" type="noConversion"/>
  </si>
  <si>
    <t>accept H0</t>
    <phoneticPr fontId="1" type="noConversion"/>
  </si>
  <si>
    <t>P(Z &gt; z_a)</t>
    <phoneticPr fontId="1" type="noConversion"/>
  </si>
  <si>
    <t>모분산 가설 검정</t>
    <phoneticPr fontId="1" type="noConversion"/>
  </si>
  <si>
    <t>Ka^2_n-1,a</t>
    <phoneticPr fontId="1" type="noConversion"/>
  </si>
  <si>
    <t>Ka^2 = (n-1) S^2/sigma_0^2</t>
    <phoneticPr fontId="1" type="noConversion"/>
  </si>
  <si>
    <t>P(Ka &gt; Ka^2_n-1,a)</t>
    <phoneticPr fontId="1" type="noConversion"/>
  </si>
  <si>
    <t>Ka^2_n-1,1-a</t>
    <phoneticPr fontId="1" type="noConversion"/>
  </si>
  <si>
    <t>n</t>
    <phoneticPr fontId="1" type="noConversion"/>
  </si>
  <si>
    <t>t_n-1,a</t>
    <phoneticPr fontId="1" type="noConversion"/>
  </si>
  <si>
    <t>T=(X`-u)/sqrt(S^2/n)</t>
    <phoneticPr fontId="1" type="noConversion"/>
  </si>
  <si>
    <t>H0: u = 5</t>
    <phoneticPr fontId="1" type="noConversion"/>
  </si>
  <si>
    <t>H1: u != 5</t>
    <phoneticPr fontId="1" type="noConversion"/>
  </si>
  <si>
    <t>H0: u = 160</t>
    <phoneticPr fontId="1" type="noConversion"/>
  </si>
  <si>
    <t>H1: u &gt; 160</t>
    <phoneticPr fontId="1" type="noConversion"/>
  </si>
  <si>
    <t>H0: u = 3</t>
    <phoneticPr fontId="1" type="noConversion"/>
  </si>
  <si>
    <t>H1: u &lt; 3</t>
    <phoneticPr fontId="1" type="noConversion"/>
  </si>
  <si>
    <t>t_n-1,a/2</t>
    <phoneticPr fontId="1" type="noConversion"/>
  </si>
  <si>
    <t>Q 11</t>
    <phoneticPr fontId="1" type="noConversion"/>
  </si>
  <si>
    <t>Q 12</t>
    <phoneticPr fontId="1" type="noConversion"/>
  </si>
  <si>
    <t>Q 13</t>
    <phoneticPr fontId="1" type="noConversion"/>
  </si>
  <si>
    <t>Q 14</t>
    <phoneticPr fontId="1" type="noConversion"/>
  </si>
  <si>
    <t>H0: p = 0.4</t>
    <phoneticPr fontId="1" type="noConversion"/>
  </si>
  <si>
    <t>H1: p &gt; 0.4</t>
    <phoneticPr fontId="1" type="noConversion"/>
  </si>
  <si>
    <t>(p`-p0)/sqrt(p0(1-p0)/n)</t>
    <phoneticPr fontId="1" type="noConversion"/>
  </si>
  <si>
    <t>Q 15</t>
    <phoneticPr fontId="1" type="noConversion"/>
  </si>
  <si>
    <t>H0: s = 1.5</t>
    <phoneticPr fontId="1" type="noConversion"/>
  </si>
  <si>
    <t>H1 : s &gt; 1.5</t>
    <phoneticPr fontId="1" type="noConversion"/>
  </si>
  <si>
    <t>Ka^2=(n-1)S^2/sigma^2</t>
    <phoneticPr fontId="1" type="noConversion"/>
  </si>
  <si>
    <t>두 독립표본 모평균 비교</t>
    <phoneticPr fontId="1" type="noConversion"/>
  </si>
  <si>
    <t>두 모집단의 분산이 다른 경우, (s_1^2 != s_2^2)</t>
    <phoneticPr fontId="1" type="noConversion"/>
  </si>
  <si>
    <t>1. 데이타 분석도구</t>
    <phoneticPr fontId="1" type="noConversion"/>
  </si>
  <si>
    <t>검정통계량</t>
    <phoneticPr fontId="1" type="noConversion"/>
  </si>
  <si>
    <t>(X_1` - X_2`)</t>
    <phoneticPr fontId="1" type="noConversion"/>
  </si>
  <si>
    <t>1.1 F 검정</t>
    <phoneticPr fontId="1" type="noConversion"/>
  </si>
  <si>
    <t>F-Test Two-Sample for Variances</t>
  </si>
  <si>
    <t>T_0 =</t>
    <phoneticPr fontId="1" type="noConversion"/>
  </si>
  <si>
    <t>--------------</t>
    <phoneticPr fontId="1" type="noConversion"/>
  </si>
  <si>
    <t>~ t(SS)</t>
    <phoneticPr fontId="1" type="noConversion"/>
  </si>
  <si>
    <t>자유도 SS</t>
    <phoneticPr fontId="1" type="noConversion"/>
  </si>
  <si>
    <t>sqrt((S_p^2)/n_1 + (S_p^2)/n_2)</t>
    <phoneticPr fontId="1" type="noConversion"/>
  </si>
  <si>
    <t>(n_1 - 1) S_1^2 + (n_2 - 1) S_2^2</t>
    <phoneticPr fontId="1" type="noConversion"/>
  </si>
  <si>
    <t>Mean</t>
  </si>
  <si>
    <t>Variance</t>
  </si>
  <si>
    <t>Satterthwaite 자유도</t>
    <phoneticPr fontId="1" type="noConversion"/>
  </si>
  <si>
    <t>(( S_1^2 / n_1 ) + (S_2^2 / n_2 ))^2</t>
    <phoneticPr fontId="1" type="noConversion"/>
  </si>
  <si>
    <t>Observations</t>
  </si>
  <si>
    <t>where SS =</t>
    <phoneticPr fontId="1" type="noConversion"/>
  </si>
  <si>
    <t>-----------------------------------------</t>
    <phoneticPr fontId="1" type="noConversion"/>
  </si>
  <si>
    <t>df</t>
  </si>
  <si>
    <t>( S_1^2 / n_1 )^2</t>
    <phoneticPr fontId="1" type="noConversion"/>
  </si>
  <si>
    <t>( S_2^2 / n_2 )^2</t>
    <phoneticPr fontId="1" type="noConversion"/>
  </si>
  <si>
    <t>F</t>
  </si>
  <si>
    <t>+</t>
    <phoneticPr fontId="1" type="noConversion"/>
  </si>
  <si>
    <t>n_1 - 1</t>
    <phoneticPr fontId="1" type="noConversion"/>
  </si>
  <si>
    <t>n_2 - 1</t>
    <phoneticPr fontId="1" type="noConversion"/>
  </si>
  <si>
    <t>두 모집단의 분산이 같은 경우, (s_1^2 = s_2^2 = s^2)</t>
    <phoneticPr fontId="1" type="noConversion"/>
  </si>
  <si>
    <t>1.2 t 검정</t>
    <phoneticPr fontId="1" type="noConversion"/>
  </si>
  <si>
    <t>~ t(n_1 + n_2 - 2)</t>
    <phoneticPr fontId="1" type="noConversion"/>
  </si>
  <si>
    <t>S_p sqrt(1/n_1 + 1/n_2)</t>
    <phoneticPr fontId="1" type="noConversion"/>
  </si>
  <si>
    <t>if S_p =</t>
    <phoneticPr fontId="1" type="noConversion"/>
  </si>
  <si>
    <t>--------------------------- (합동표본분산)</t>
    <phoneticPr fontId="1" type="noConversion"/>
  </si>
  <si>
    <t>(n_1 - 1) + (n_2 - 1)</t>
    <phoneticPr fontId="1" type="noConversion"/>
  </si>
  <si>
    <t>공분산</t>
    <phoneticPr fontId="1" type="noConversion"/>
  </si>
  <si>
    <t>Hypothesized Mean Difference</t>
  </si>
  <si>
    <t>자유도</t>
    <phoneticPr fontId="1" type="noConversion"/>
  </si>
  <si>
    <t>t Stat</t>
  </si>
  <si>
    <t>P(T&lt;=t) one-tail</t>
  </si>
  <si>
    <t>t Critical one-tail</t>
  </si>
  <si>
    <t>P(T&lt;=t) two-tail</t>
  </si>
  <si>
    <t>유의 확률</t>
    <phoneticPr fontId="1" type="noConversion"/>
  </si>
  <si>
    <t>t Critical two-tail</t>
  </si>
  <si>
    <t>2. 데이타 분석도구</t>
    <phoneticPr fontId="1" type="noConversion"/>
  </si>
  <si>
    <t>쌍체비교</t>
    <phoneticPr fontId="1" type="noConversion"/>
  </si>
  <si>
    <t>하나의 실험단위에 두개의 처리를 실시 (Data가 Pair로 나옴)</t>
    <phoneticPr fontId="1" type="noConversion"/>
  </si>
  <si>
    <t>2.1 t검정</t>
    <phoneticPr fontId="1" type="noConversion"/>
  </si>
  <si>
    <t>t-Test: Paired Two Sample for Means</t>
  </si>
  <si>
    <t>D_i = X_i - Y_i (I = 1,2,…,n)</t>
    <phoneticPr fontId="1" type="noConversion"/>
  </si>
  <si>
    <t>가설설정</t>
    <phoneticPr fontId="1" type="noConversion"/>
  </si>
  <si>
    <t xml:space="preserve">  귀무가설 H_0 : u_D = 0</t>
    <phoneticPr fontId="1" type="noConversion"/>
  </si>
  <si>
    <t>u_D == mean(D)</t>
    <phoneticPr fontId="1" type="noConversion"/>
  </si>
  <si>
    <t xml:space="preserve">  대립가설 H_1 : u_D != 0</t>
    <phoneticPr fontId="1" type="noConversion"/>
  </si>
  <si>
    <t xml:space="preserve">  T = D` / (S_D sqt(n) )</t>
    <phoneticPr fontId="1" type="noConversion"/>
  </si>
  <si>
    <t>Pearson Correlation</t>
  </si>
  <si>
    <t xml:space="preserve">   where D` = sum(D_i/n), S_D^2 = sum(D_i - D`)^2/(n-1)</t>
    <phoneticPr fontId="1" type="noConversion"/>
  </si>
  <si>
    <t>귀무가설이 참일 때, T ~ t(n - 1)</t>
    <phoneticPr fontId="1" type="noConversion"/>
  </si>
  <si>
    <t>t 검정통계량</t>
    <phoneticPr fontId="1" type="noConversion"/>
  </si>
  <si>
    <t>단측검증</t>
    <phoneticPr fontId="1" type="noConversion"/>
  </si>
  <si>
    <t>P-Value</t>
    <phoneticPr fontId="1" type="noConversion"/>
  </si>
  <si>
    <t xml:space="preserve">  귀무가설 H_0 : u_1 = u_2</t>
    <phoneticPr fontId="1" type="noConversion"/>
  </si>
  <si>
    <t xml:space="preserve">  대립가설 H_1 : u_1 &gt; u_2</t>
    <phoneticPr fontId="1" type="noConversion"/>
  </si>
  <si>
    <t>양측검증</t>
    <phoneticPr fontId="1" type="noConversion"/>
  </si>
  <si>
    <t xml:space="preserve">  대립가설 H_1 : u_1 != u_2</t>
    <phoneticPr fontId="1" type="noConversion"/>
  </si>
  <si>
    <t>Player A</t>
  </si>
  <si>
    <t>Player A</t>
    <phoneticPr fontId="1" type="noConversion"/>
  </si>
  <si>
    <t>Player B</t>
  </si>
  <si>
    <t>Player B</t>
    <phoneticPr fontId="1" type="noConversion"/>
  </si>
  <si>
    <t>따라서, H_1 : s_1 != s_2</t>
    <phoneticPr fontId="1" type="noConversion"/>
  </si>
  <si>
    <t>t-Test: Two-Sample Assuming Unequal Variances</t>
  </si>
  <si>
    <t>양측검증에 대한 유의확률(P-Value) 0.923 &gt; 0.05보다 크므로</t>
    <phoneticPr fontId="1" type="noConversion"/>
  </si>
  <si>
    <t>귀무가설(양쪽 점수에 대한 차이가 없다.) 받아들임</t>
    <phoneticPr fontId="1" type="noConversion"/>
  </si>
  <si>
    <t>F Right Side</t>
    <phoneticPr fontId="1" type="noConversion"/>
  </si>
  <si>
    <t>F &gt; 4.026</t>
    <phoneticPr fontId="1" type="noConversion"/>
  </si>
  <si>
    <t>before</t>
  </si>
  <si>
    <t>before</t>
    <phoneticPr fontId="1" type="noConversion"/>
  </si>
  <si>
    <t>after</t>
  </si>
  <si>
    <t>after</t>
    <phoneticPr fontId="1" type="noConversion"/>
  </si>
  <si>
    <t>Mean</t>
    <phoneticPr fontId="1" type="noConversion"/>
  </si>
  <si>
    <t>df</t>
    <phoneticPr fontId="1" type="noConversion"/>
  </si>
  <si>
    <t>t Stat</t>
    <phoneticPr fontId="1" type="noConversion"/>
  </si>
  <si>
    <t>D_i</t>
    <phoneticPr fontId="1" type="noConversion"/>
  </si>
  <si>
    <t>Variance</t>
    <phoneticPr fontId="1" type="noConversion"/>
  </si>
  <si>
    <t>Observations</t>
    <phoneticPr fontId="1" type="noConversion"/>
  </si>
  <si>
    <t>P(T&lt;=t)</t>
    <phoneticPr fontId="1" type="noConversion"/>
  </si>
  <si>
    <t>t  one-tail</t>
    <phoneticPr fontId="1" type="noConversion"/>
  </si>
  <si>
    <t>t two-side</t>
    <phoneticPr fontId="1" type="noConversion"/>
  </si>
  <si>
    <t>자동차 사고</t>
    <phoneticPr fontId="1" type="noConversion"/>
  </si>
  <si>
    <t>=F.INV(1-0.05,2,15)</t>
    <phoneticPr fontId="1" type="noConversion"/>
  </si>
  <si>
    <t>=F.INV.RT(0.05,2,15)</t>
    <phoneticPr fontId="1" type="noConversion"/>
  </si>
  <si>
    <t>=F.DIST($G$18,2,15,FALSE)</t>
    <phoneticPr fontId="1" type="noConversion"/>
  </si>
  <si>
    <t>=F.DIST($G$18,2,15,TRUE)</t>
    <phoneticPr fontId="1" type="noConversion"/>
  </si>
  <si>
    <t>=qf(1-0.05,2,15)</t>
    <phoneticPr fontId="1" type="noConversion"/>
  </si>
  <si>
    <t>=pf(3.6823,2,15)</t>
    <phoneticPr fontId="1" type="noConversion"/>
  </si>
  <si>
    <t>=df(3.6823,2,15)</t>
    <phoneticPr fontId="1" type="noConversion"/>
  </si>
  <si>
    <t>밀도함수</t>
    <phoneticPr fontId="1" type="noConversion"/>
  </si>
  <si>
    <t>누적분포함수</t>
    <phoneticPr fontId="1" type="noConversion"/>
  </si>
  <si>
    <t>분위수 함수</t>
    <phoneticPr fontId="1" type="noConversion"/>
  </si>
  <si>
    <t>density fn</t>
    <phoneticPr fontId="1" type="noConversion"/>
  </si>
  <si>
    <t>quantile fn</t>
    <phoneticPr fontId="1" type="noConversion"/>
  </si>
  <si>
    <t>cumulative distribution fn</t>
    <phoneticPr fontId="1" type="noConversion"/>
  </si>
  <si>
    <t>불량항목</t>
    <phoneticPr fontId="1" type="noConversion"/>
  </si>
  <si>
    <t>뒤틀림</t>
    <phoneticPr fontId="1" type="noConversion"/>
  </si>
  <si>
    <t>벌어짐</t>
    <phoneticPr fontId="1" type="noConversion"/>
  </si>
  <si>
    <t>접힘선 이탈</t>
    <phoneticPr fontId="1" type="noConversion"/>
  </si>
  <si>
    <t>긁힘</t>
    <phoneticPr fontId="1" type="noConversion"/>
  </si>
  <si>
    <t>기타</t>
    <phoneticPr fontId="1" type="noConversion"/>
  </si>
  <si>
    <t>불량개수</t>
    <phoneticPr fontId="1" type="noConversion"/>
  </si>
  <si>
    <t>누적퍼센트</t>
    <phoneticPr fontId="1" type="noConversion"/>
  </si>
  <si>
    <t>후보</t>
    <phoneticPr fontId="1" type="noConversion"/>
  </si>
  <si>
    <t>이명박</t>
    <phoneticPr fontId="1" type="noConversion"/>
  </si>
  <si>
    <t>정동영</t>
    <phoneticPr fontId="1" type="noConversion"/>
  </si>
  <si>
    <t>이회창</t>
    <phoneticPr fontId="1" type="noConversion"/>
  </si>
  <si>
    <t>문국현</t>
    <phoneticPr fontId="1" type="noConversion"/>
  </si>
  <si>
    <t>권영길</t>
    <phoneticPr fontId="1" type="noConversion"/>
  </si>
  <si>
    <t>실제 득표율</t>
    <phoneticPr fontId="1" type="noConversion"/>
  </si>
  <si>
    <t>예제 2.2</t>
    <phoneticPr fontId="1" type="noConversion"/>
  </si>
  <si>
    <t>예제 2.1</t>
    <phoneticPr fontId="1" type="noConversion"/>
  </si>
  <si>
    <t>도수분포표</t>
    <phoneticPr fontId="1" type="noConversion"/>
  </si>
  <si>
    <t>계급구간</t>
    <phoneticPr fontId="1" type="noConversion"/>
  </si>
  <si>
    <t>7.5 ~ 12.5</t>
    <phoneticPr fontId="1" type="noConversion"/>
  </si>
  <si>
    <t>12.5 ~ 17.5</t>
    <phoneticPr fontId="1" type="noConversion"/>
  </si>
  <si>
    <t>17.5 ~ 22.5</t>
    <phoneticPr fontId="1" type="noConversion"/>
  </si>
  <si>
    <t>22.5 ~ 27.5</t>
    <phoneticPr fontId="1" type="noConversion"/>
  </si>
  <si>
    <t>27.5 ~ 32.5</t>
    <phoneticPr fontId="1" type="noConversion"/>
  </si>
  <si>
    <t>32.5 ~ 37.5</t>
    <phoneticPr fontId="1" type="noConversion"/>
  </si>
  <si>
    <t>37.5 ~ 42.5</t>
    <phoneticPr fontId="1" type="noConversion"/>
  </si>
  <si>
    <t>계급값</t>
    <phoneticPr fontId="1" type="noConversion"/>
  </si>
  <si>
    <t>도수</t>
    <phoneticPr fontId="1" type="noConversion"/>
  </si>
  <si>
    <t>계급값*도수</t>
    <phoneticPr fontId="1" type="noConversion"/>
  </si>
  <si>
    <t>표본평균</t>
    <phoneticPr fontId="1" type="noConversion"/>
  </si>
  <si>
    <t>표본분산</t>
    <phoneticPr fontId="1" type="noConversion"/>
  </si>
  <si>
    <t>표본표준편차</t>
    <phoneticPr fontId="1" type="noConversion"/>
  </si>
  <si>
    <t>총계</t>
    <phoneticPr fontId="1" type="noConversion"/>
  </si>
  <si>
    <t>(계급값-평균)^2*도수</t>
    <phoneticPr fontId="1" type="noConversion"/>
  </si>
  <si>
    <t>연습문제 14</t>
    <phoneticPr fontId="1" type="noConversion"/>
  </si>
  <si>
    <t>Trials</t>
    <phoneticPr fontId="1" type="noConversion"/>
  </si>
  <si>
    <t>Probability</t>
    <phoneticPr fontId="1" type="noConversion"/>
  </si>
  <si>
    <t>X</t>
    <phoneticPr fontId="1" type="noConversion"/>
  </si>
  <si>
    <t>Pr[X=x]</t>
    <phoneticPr fontId="1" type="noConversion"/>
  </si>
  <si>
    <t>EX 13</t>
    <phoneticPr fontId="1" type="noConversion"/>
  </si>
  <si>
    <t>EX 14 (1)</t>
    <phoneticPr fontId="1" type="noConversion"/>
  </si>
  <si>
    <t>EX 14 (2)</t>
    <phoneticPr fontId="1" type="noConversion"/>
  </si>
  <si>
    <t>EX 14 (3)</t>
    <phoneticPr fontId="1" type="noConversion"/>
  </si>
  <si>
    <t>EX 15 (1)</t>
    <phoneticPr fontId="1" type="noConversion"/>
  </si>
  <si>
    <t>EX 15 (2)</t>
    <phoneticPr fontId="1" type="noConversion"/>
  </si>
  <si>
    <t>EX 15 (3)</t>
    <phoneticPr fontId="1" type="noConversion"/>
  </si>
  <si>
    <t>EX 03</t>
    <phoneticPr fontId="1" type="noConversion"/>
  </si>
  <si>
    <t>EX 16</t>
    <phoneticPr fontId="1" type="noConversion"/>
  </si>
  <si>
    <t>Pr[X = x]</t>
    <phoneticPr fontId="1" type="noConversion"/>
  </si>
  <si>
    <t>EX 17</t>
    <phoneticPr fontId="1" type="noConversion"/>
  </si>
  <si>
    <t>f(x) = 1/SQRT(2 PI) E^(-Z^2/2)</t>
    <phoneticPr fontId="1" type="noConversion"/>
  </si>
  <si>
    <t>EX 18 (1)</t>
    <phoneticPr fontId="1" type="noConversion"/>
  </si>
  <si>
    <t>EX 18 (2)</t>
    <phoneticPr fontId="1" type="noConversion"/>
  </si>
  <si>
    <t>EX 18 (3)</t>
    <phoneticPr fontId="1" type="noConversion"/>
  </si>
  <si>
    <t>EX 19</t>
    <phoneticPr fontId="1" type="noConversion"/>
  </si>
  <si>
    <t>EX 20 (1)</t>
    <phoneticPr fontId="1" type="noConversion"/>
  </si>
  <si>
    <t>EX 20 (2)</t>
    <phoneticPr fontId="1" type="noConversion"/>
  </si>
  <si>
    <t>Macro Start!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</si>
</sst>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"/>
    <numFmt numFmtId="177" formatCode="0.0_ "/>
    <numFmt numFmtId="178" formatCode="0.0%"/>
    <numFmt numFmtId="181" formatCode="0.0000"/>
    <numFmt numFmtId="182" formatCode="0.000"/>
  </numFmts>
  <fonts count="4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8" fontId="0" fillId="0" borderId="0" xfId="1" applyNumberFormat="1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vertical="center"/>
    </xf>
    <xf numFmtId="182" fontId="0" fillId="2" borderId="0" xfId="0" applyNumberFormat="1" applyFill="1">
      <alignment vertical="center"/>
    </xf>
    <xf numFmtId="0" fontId="0" fillId="2" borderId="4" xfId="0" applyFill="1" applyBorder="1" applyAlignment="1">
      <alignment horizontal="left" vertical="center"/>
    </xf>
    <xf numFmtId="182" fontId="0" fillId="0" borderId="4" xfId="0" applyNumberFormat="1" applyBorder="1">
      <alignment vertical="center"/>
    </xf>
    <xf numFmtId="182" fontId="0" fillId="0" borderId="7" xfId="0" applyNumberFormat="1" applyBorder="1">
      <alignment vertical="center"/>
    </xf>
    <xf numFmtId="182" fontId="0" fillId="0" borderId="5" xfId="0" applyNumberFormat="1" applyBorder="1">
      <alignment vertical="center"/>
    </xf>
    <xf numFmtId="182" fontId="0" fillId="2" borderId="5" xfId="0" applyNumberFormat="1" applyFill="1" applyBorder="1" applyAlignment="1">
      <alignment vertical="center"/>
    </xf>
    <xf numFmtId="181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0" xfId="0" quotePrefix="1" applyFont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'2장 그래프'!$C$3</c:f>
              <c:strCache>
                <c:ptCount val="1"/>
                <c:pt idx="0">
                  <c:v>불량개수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'2장 그래프'!$B$4:$B$8</c:f>
              <c:strCache>
                <c:ptCount val="5"/>
                <c:pt idx="0">
                  <c:v>뒤틀림</c:v>
                </c:pt>
                <c:pt idx="1">
                  <c:v>벌어짐</c:v>
                </c:pt>
                <c:pt idx="2">
                  <c:v>접힘선 이탈</c:v>
                </c:pt>
                <c:pt idx="3">
                  <c:v>긁힘</c:v>
                </c:pt>
                <c:pt idx="4">
                  <c:v>기타</c:v>
                </c:pt>
              </c:strCache>
            </c:strRef>
          </c:cat>
          <c:val>
            <c:numRef>
              <c:f>'2장 그래프'!$C$4:$C$8</c:f>
              <c:numCache>
                <c:formatCode>General</c:formatCode>
                <c:ptCount val="5"/>
                <c:pt idx="0">
                  <c:v>98</c:v>
                </c:pt>
                <c:pt idx="1">
                  <c:v>33</c:v>
                </c:pt>
                <c:pt idx="2">
                  <c:v>20</c:v>
                </c:pt>
                <c:pt idx="3">
                  <c:v>5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EB-6C4B-922E-04868186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6004095"/>
        <c:axId val="1639319135"/>
      </c:barChart>
      <c:lineChart>
        <c:grouping val="standard"/>
        <c:varyColors val="0"/>
        <c:ser>
          <c:idx val="1"/>
          <c:order val="1"/>
          <c:tx>
            <c:strRef>
              <c:f>'2장 그래프'!$D$3</c:f>
              <c:strCache>
                <c:ptCount val="1"/>
                <c:pt idx="0">
                  <c:v>누적퍼센트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'2장 그래프'!$B$4:$B$8</c:f>
              <c:strCache>
                <c:ptCount val="5"/>
                <c:pt idx="0">
                  <c:v>뒤틀림</c:v>
                </c:pt>
                <c:pt idx="1">
                  <c:v>벌어짐</c:v>
                </c:pt>
                <c:pt idx="2">
                  <c:v>접힘선 이탈</c:v>
                </c:pt>
                <c:pt idx="3">
                  <c:v>긁힘</c:v>
                </c:pt>
                <c:pt idx="4">
                  <c:v>기타</c:v>
                </c:pt>
              </c:strCache>
            </c:strRef>
          </c:cat>
          <c:val>
            <c:numRef>
              <c:f>'2장 그래프'!$D$4:$D$8</c:f>
              <c:numCache>
                <c:formatCode>0.0%</c:formatCode>
                <c:ptCount val="5"/>
                <c:pt idx="0">
                  <c:v>0.60099999999999998</c:v>
                </c:pt>
                <c:pt idx="1">
                  <c:v>0.80400000000000005</c:v>
                </c:pt>
                <c:pt idx="2">
                  <c:v>0.92600000000000005</c:v>
                </c:pt>
                <c:pt idx="3">
                  <c:v>0.95699999999999996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EB-6C4B-922E-04868186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9305295"/>
        <c:axId val="1600326815"/>
      </c:lineChart>
      <c:catAx>
        <c:axId val="163600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9319135"/>
        <c:auto val="1"/>
        <c:lblAlgn val="ctr"/>
        <c:lblOffset val="100"/>
        <c:noMultiLvlLbl val="0"/>
      </c:catAx>
      <c:valAx>
        <c:axId val="163931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6004095"/>
        <c:crossBetween val="between"/>
      </c:valAx>
      <c:valAx>
        <c:axId val="1600326815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39305295"/>
        <c:crosses val="max"/>
        <c:crossBetween val="between"/>
      </c:valAx>
      <c:catAx>
        <c:axId val="16393052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0032681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5138888888889"/>
          <c:y val="0.10146862483311081"/>
          <c:w val="0.7534722222222221"/>
          <c:h val="0.86915887850467277"/>
        </c:manualLayout>
      </c:layout>
      <c:pieChart>
        <c:varyColors val="1"/>
        <c:ser>
          <c:idx val="0"/>
          <c:order val="0"/>
          <c:tx>
            <c:strRef>
              <c:f>'2장 그래프'!$H$3</c:f>
              <c:strCache>
                <c:ptCount val="1"/>
                <c:pt idx="0">
                  <c:v>실제 득표율</c:v>
                </c:pt>
              </c:strCache>
            </c:strRef>
          </c:tx>
          <c:explosion val="1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13-C847-A1F2-6E51D5F826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B13-C847-A1F2-6E51D5F826C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13-C847-A1F2-6E51D5F826C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B13-C847-A1F2-6E51D5F826C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B13-C847-A1F2-6E51D5F826C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B13-C847-A1F2-6E51D5F826C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B13-C847-A1F2-6E51D5F826C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13-C847-A1F2-6E51D5F826C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13-C847-A1F2-6E51D5F826C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B13-C847-A1F2-6E51D5F826C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B13-C847-A1F2-6E51D5F826C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6-0B13-C847-A1F2-6E51D5F826CB}"/>
                </c:ext>
              </c:extLst>
            </c:dLbl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'2장 그래프'!$G$4:$G$9</c:f>
              <c:strCache>
                <c:ptCount val="6"/>
                <c:pt idx="0">
                  <c:v>이명박</c:v>
                </c:pt>
                <c:pt idx="1">
                  <c:v>정동영</c:v>
                </c:pt>
                <c:pt idx="2">
                  <c:v>이회창</c:v>
                </c:pt>
                <c:pt idx="3">
                  <c:v>문국현</c:v>
                </c:pt>
                <c:pt idx="4">
                  <c:v>권영길</c:v>
                </c:pt>
                <c:pt idx="5">
                  <c:v>기타</c:v>
                </c:pt>
              </c:strCache>
            </c:strRef>
          </c:cat>
          <c:val>
            <c:numRef>
              <c:f>'2장 그래프'!$H$4:$H$9</c:f>
              <c:numCache>
                <c:formatCode>0.00%</c:formatCode>
                <c:ptCount val="6"/>
                <c:pt idx="0">
                  <c:v>0.48699999999999999</c:v>
                </c:pt>
                <c:pt idx="1">
                  <c:v>0.26100000000000001</c:v>
                </c:pt>
                <c:pt idx="2">
                  <c:v>0.151</c:v>
                </c:pt>
                <c:pt idx="3">
                  <c:v>5.8000000000000003E-2</c:v>
                </c:pt>
                <c:pt idx="4">
                  <c:v>0.03</c:v>
                </c:pt>
                <c:pt idx="5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3-C847-A1F2-6E51D5F826C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'2장 그래프'!$H$3</c:f>
              <c:strCache>
                <c:ptCount val="1"/>
                <c:pt idx="0">
                  <c:v>실제 득표율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'2장 그래프'!$G$4:$G$9</c:f>
              <c:strCache>
                <c:ptCount val="6"/>
                <c:pt idx="0">
                  <c:v>이명박</c:v>
                </c:pt>
                <c:pt idx="1">
                  <c:v>정동영</c:v>
                </c:pt>
                <c:pt idx="2">
                  <c:v>이회창</c:v>
                </c:pt>
                <c:pt idx="3">
                  <c:v>문국현</c:v>
                </c:pt>
                <c:pt idx="4">
                  <c:v>권영길</c:v>
                </c:pt>
                <c:pt idx="5">
                  <c:v>기타</c:v>
                </c:pt>
              </c:strCache>
            </c:strRef>
          </c:cat>
          <c:val>
            <c:numRef>
              <c:f>'2장 그래프'!$H$4:$H$9</c:f>
              <c:numCache>
                <c:formatCode>0.00%</c:formatCode>
                <c:ptCount val="6"/>
                <c:pt idx="0">
                  <c:v>0.48699999999999999</c:v>
                </c:pt>
                <c:pt idx="1">
                  <c:v>0.26100000000000001</c:v>
                </c:pt>
                <c:pt idx="2">
                  <c:v>0.151</c:v>
                </c:pt>
                <c:pt idx="3">
                  <c:v>5.8000000000000003E-2</c:v>
                </c:pt>
                <c:pt idx="4">
                  <c:v>0.03</c:v>
                </c:pt>
                <c:pt idx="5">
                  <c:v>1.2999999999999999E-2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4-D84B-99C1-7E9E0ECC2E0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40745999"/>
        <c:axId val="1661318143"/>
      </c:barChart>
      <c:catAx>
        <c:axId val="1640745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61318143"/>
        <c:crosses val="autoZero"/>
        <c:auto val="1"/>
        <c:lblAlgn val="ctr"/>
        <c:lblOffset val="100"/>
        <c:noMultiLvlLbl val="0"/>
      </c:catAx>
      <c:valAx>
        <c:axId val="1661318143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640745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'3장 데이타베이스'!$C$5</c:f>
              <c:strCache>
                <c:ptCount val="1"/>
                <c:pt idx="0">
                  <c:v>Pr[X=x]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'3장 데이타베이스'!$B$5:$B$26</c:f>
              <c:strCache>
                <c:ptCount val="22"/>
                <c:pt idx="0">
                  <c:v>X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</c:strCache>
            </c:strRef>
          </c:cat>
          <c:val>
            <c:numRef>
              <c:f>'3장 데이타베이스'!$C$6:$C$26</c:f>
              <c:numCache>
                <c:formatCode>General</c:formatCode>
                <c:ptCount val="21"/>
                <c:pt idx="0">
                  <c:v>9.5367431640625E-7</c:v>
                </c:pt>
                <c:pt idx="1">
                  <c:v>1.9073486328125034E-5</c:v>
                </c:pt>
                <c:pt idx="2">
                  <c:v>1.8119812011718755E-4</c:v>
                </c:pt>
                <c:pt idx="3">
                  <c:v>1.0871887207031263E-3</c:v>
                </c:pt>
                <c:pt idx="4">
                  <c:v>4.6205520629882752E-3</c:v>
                </c:pt>
                <c:pt idx="5">
                  <c:v>1.4785766601562502E-2</c:v>
                </c:pt>
                <c:pt idx="6">
                  <c:v>3.6964416503906257E-2</c:v>
                </c:pt>
                <c:pt idx="7">
                  <c:v>7.3928833007812458E-2</c:v>
                </c:pt>
                <c:pt idx="8">
                  <c:v>0.12013435363769531</c:v>
                </c:pt>
                <c:pt idx="9">
                  <c:v>0.16017913818359369</c:v>
                </c:pt>
                <c:pt idx="10">
                  <c:v>0.17619705200195307</c:v>
                </c:pt>
                <c:pt idx="11">
                  <c:v>0.16017913818359369</c:v>
                </c:pt>
                <c:pt idx="12">
                  <c:v>0.12013435363769531</c:v>
                </c:pt>
                <c:pt idx="13">
                  <c:v>7.3928833007812472E-2</c:v>
                </c:pt>
                <c:pt idx="14">
                  <c:v>3.6964416503906257E-2</c:v>
                </c:pt>
                <c:pt idx="15">
                  <c:v>1.4785766601562502E-2</c:v>
                </c:pt>
                <c:pt idx="16">
                  <c:v>4.6205520629882752E-3</c:v>
                </c:pt>
                <c:pt idx="17">
                  <c:v>1.0871887207031261E-3</c:v>
                </c:pt>
                <c:pt idx="18">
                  <c:v>1.8119812011718753E-4</c:v>
                </c:pt>
                <c:pt idx="19">
                  <c:v>1.9073486328125E-5</c:v>
                </c:pt>
                <c:pt idx="20">
                  <c:v>9.5367431640625E-7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3B-5E4A-9506-6597FD29B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1653423"/>
        <c:axId val="1641443311"/>
      </c:barChart>
      <c:catAx>
        <c:axId val="164165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1443311"/>
        <c:crosses val="autoZero"/>
        <c:auto val="1"/>
        <c:lblAlgn val="ctr"/>
        <c:lblOffset val="100"/>
        <c:noMultiLvlLbl val="0"/>
      </c:catAx>
      <c:valAx>
        <c:axId val="164144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165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'3장 데이타베이스'!$J$5</c:f>
              <c:strCache>
                <c:ptCount val="1"/>
                <c:pt idx="0">
                  <c:v>Pr[X=x]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'3장 데이타베이스'!$I$6:$I$12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'3장 데이타베이스'!$J$6:$J$12</c:f>
              <c:numCache>
                <c:formatCode>0.0000</c:formatCode>
                <c:ptCount val="7"/>
                <c:pt idx="0">
                  <c:v>1.5625000000000007E-2</c:v>
                </c:pt>
                <c:pt idx="1">
                  <c:v>9.375E-2</c:v>
                </c:pt>
                <c:pt idx="2">
                  <c:v>0.23437500000000003</c:v>
                </c:pt>
                <c:pt idx="3">
                  <c:v>0.31249999999999994</c:v>
                </c:pt>
                <c:pt idx="4">
                  <c:v>0.23437500000000003</c:v>
                </c:pt>
                <c:pt idx="5">
                  <c:v>9.375E-2</c:v>
                </c:pt>
                <c:pt idx="6">
                  <c:v>1.5625000000000007E-2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E-5944-BBB0-88FA488BC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3201919"/>
        <c:axId val="1661257951"/>
      </c:barChart>
      <c:catAx>
        <c:axId val="166320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61257951"/>
        <c:crosses val="autoZero"/>
        <c:auto val="1"/>
        <c:lblAlgn val="ctr"/>
        <c:lblOffset val="100"/>
        <c:noMultiLvlLbl val="0"/>
      </c:catAx>
      <c:valAx>
        <c:axId val="166125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6320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'3장 데이타베이스'!$C$29</c:f>
              <c:strCache>
                <c:ptCount val="1"/>
                <c:pt idx="0">
                  <c:v>Pr[X = x]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'3장 데이타베이스'!$B$30:$B$49</c:f>
              <c:numCache>
                <c:formatCode>General</c:formatCode>
                <c:ptCount val="20"/>
                <c:pt idx="0">
                  <c:v>-2</c:v>
                </c:pt>
                <c:pt idx="1">
                  <c:v>-1.6</c:v>
                </c:pt>
                <c:pt idx="2">
                  <c:v>-1.4000000000000001</c:v>
                </c:pt>
                <c:pt idx="3">
                  <c:v>-1.2000000000000002</c:v>
                </c:pt>
                <c:pt idx="4">
                  <c:v>-1.0000000000000002</c:v>
                </c:pt>
                <c:pt idx="5">
                  <c:v>-0.80000000000000027</c:v>
                </c:pt>
                <c:pt idx="6">
                  <c:v>-0.60000000000000031</c:v>
                </c:pt>
                <c:pt idx="7">
                  <c:v>-0.4000000000000003</c:v>
                </c:pt>
                <c:pt idx="8">
                  <c:v>-0.20000000000000029</c:v>
                </c:pt>
                <c:pt idx="9">
                  <c:v>0</c:v>
                </c:pt>
                <c:pt idx="10">
                  <c:v>0.2</c:v>
                </c:pt>
                <c:pt idx="11">
                  <c:v>0.4</c:v>
                </c:pt>
                <c:pt idx="12">
                  <c:v>0.60000000000000009</c:v>
                </c:pt>
                <c:pt idx="13">
                  <c:v>0.8</c:v>
                </c:pt>
                <c:pt idx="14">
                  <c:v>1</c:v>
                </c:pt>
                <c:pt idx="15">
                  <c:v>1.2</c:v>
                </c:pt>
                <c:pt idx="16">
                  <c:v>1.4</c:v>
                </c:pt>
                <c:pt idx="17">
                  <c:v>1.5999999999999999</c:v>
                </c:pt>
                <c:pt idx="18">
                  <c:v>1.7999999999999998</c:v>
                </c:pt>
                <c:pt idx="19">
                  <c:v>1.9999999999999998</c:v>
                </c:pt>
              </c:numCache>
            </c:numRef>
          </c:cat>
          <c:val>
            <c:numRef>
              <c:f>'3장 데이타베이스'!$C$30:$C$49</c:f>
              <c:numCache>
                <c:formatCode>General</c:formatCode>
                <c:ptCount val="20"/>
                <c:pt idx="0">
                  <c:v>5.3990966513188063E-2</c:v>
                </c:pt>
                <c:pt idx="1">
                  <c:v>0.11092083467945554</c:v>
                </c:pt>
                <c:pt idx="2">
                  <c:v>0.14972746563574482</c:v>
                </c:pt>
                <c:pt idx="3">
                  <c:v>0.19418605498321292</c:v>
                </c:pt>
                <c:pt idx="4">
                  <c:v>0.24197072451914331</c:v>
                </c:pt>
                <c:pt idx="5">
                  <c:v>0.28969155276148267</c:v>
                </c:pt>
                <c:pt idx="6">
                  <c:v>0.33322460289179962</c:v>
                </c:pt>
                <c:pt idx="7">
                  <c:v>0.36827014030332328</c:v>
                </c:pt>
                <c:pt idx="8">
                  <c:v>0.39104269397545588</c:v>
                </c:pt>
                <c:pt idx="9">
                  <c:v>0.3989422804014327</c:v>
                </c:pt>
                <c:pt idx="10">
                  <c:v>0.39104269397545588</c:v>
                </c:pt>
                <c:pt idx="11">
                  <c:v>0.36827014030332333</c:v>
                </c:pt>
                <c:pt idx="12">
                  <c:v>0.33322460289179967</c:v>
                </c:pt>
                <c:pt idx="13">
                  <c:v>0.28969155276148273</c:v>
                </c:pt>
                <c:pt idx="14">
                  <c:v>0.24197072451914337</c:v>
                </c:pt>
                <c:pt idx="15">
                  <c:v>0.19418605498321295</c:v>
                </c:pt>
                <c:pt idx="16">
                  <c:v>0.14972746563574488</c:v>
                </c:pt>
                <c:pt idx="17">
                  <c:v>0.11092083467945558</c:v>
                </c:pt>
                <c:pt idx="18">
                  <c:v>7.8950158300894177E-2</c:v>
                </c:pt>
                <c:pt idx="19">
                  <c:v>5.3990966513188084E-2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0-4F49-82BF-0ADB72FAE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1618975"/>
        <c:axId val="1662261791"/>
      </c:barChart>
      <c:catAx>
        <c:axId val="1641618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62261791"/>
        <c:crosses val="autoZero"/>
        <c:auto val="1"/>
        <c:lblAlgn val="ctr"/>
        <c:lblOffset val="100"/>
        <c:noMultiLvlLbl val="0"/>
      </c:catAx>
      <c:valAx>
        <c:axId val="166226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1618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'5장 표본분포'!$B$3:$B$8</c:f>
              <c:numCache>
                <c:formatCode>General</c:formatCode>
                <c:ptCount val="6"/>
                <c:pt idx="0">
                  <c:v>9.695184012123681E-2</c:v>
                </c:pt>
                <c:pt idx="1">
                  <c:v>8.2253663222720097E-2</c:v>
                </c:pt>
                <c:pt idx="2">
                  <c:v>7.7183330190849997E-2</c:v>
                </c:pt>
                <c:pt idx="3">
                  <c:v>7.4617885584626231E-2</c:v>
                </c:pt>
                <c:pt idx="4">
                  <c:v>7.3069232569009768E-2</c:v>
                </c:pt>
                <c:pt idx="5">
                  <c:v>7.2032964564322954E-2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F-3943-8042-25CB22D78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2001087"/>
        <c:axId val="1686402991"/>
      </c:barChart>
      <c:catAx>
        <c:axId val="160200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86402991"/>
        <c:crosses val="autoZero"/>
        <c:auto val="1"/>
        <c:lblAlgn val="ctr"/>
        <c:lblOffset val="100"/>
        <c:noMultiLvlLbl val="0"/>
      </c:catAx>
      <c:valAx>
        <c:axId val="168640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200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943070</xdr:colOff>
      <xdr:row>8</xdr:row>
      <xdr:rowOff>94873</xdr:rowOff>
    </xdr:from>
    <xdr:to>
      <xdr:col>5</xdr:col>
      <xdr:colOff>749426</xdr:colOff>
      <xdr:row>20</xdr:row>
      <xdr:rowOff>94872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D55999C-E77F-B744-B3EF-6E052BFAF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101600</xdr:colOff>
      <xdr:row>0</xdr:row>
      <xdr:rowOff>133350</xdr:rowOff>
    </xdr:from>
    <xdr:to>
      <xdr:col>13</xdr:col>
      <xdr:colOff>342900</xdr:colOff>
      <xdr:row>18</xdr:row>
      <xdr:rowOff>203200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34360D7-D8E2-E846-ABFB-D452446B4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139700</xdr:colOff>
      <xdr:row>19</xdr:row>
      <xdr:rowOff>120650</xdr:rowOff>
    </xdr:from>
    <xdr:to>
      <xdr:col>12</xdr:col>
      <xdr:colOff>901700</xdr:colOff>
      <xdr:row>32</xdr:row>
      <xdr:rowOff>120650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F942F8EE-9C6F-0740-A8F7-75A74DF64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63500</xdr:rowOff>
    </xdr:from>
    <xdr:to>
      <xdr:col>7</xdr:col>
      <xdr:colOff>825500</xdr:colOff>
      <xdr:row>15</xdr:row>
      <xdr:rowOff>63500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3503FA6E-54B0-1D45-981B-7F66405E05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50800</xdr:colOff>
      <xdr:row>12</xdr:row>
      <xdr:rowOff>215900</xdr:rowOff>
    </xdr:from>
    <xdr:to>
      <xdr:col>12</xdr:col>
      <xdr:colOff>812800</xdr:colOff>
      <xdr:row>24</xdr:row>
      <xdr:rowOff>215900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8514E829-31B7-354E-A13F-76DF1998BD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63500</xdr:colOff>
      <xdr:row>28</xdr:row>
      <xdr:rowOff>25400</xdr:rowOff>
    </xdr:from>
    <xdr:to>
      <xdr:col>7</xdr:col>
      <xdr:colOff>596900</xdr:colOff>
      <xdr:row>40</xdr:row>
      <xdr:rowOff>25400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30AE9CF6-FE0A-7044-A25C-DF18D915A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939800</xdr:colOff>
      <xdr:row>7</xdr:row>
      <xdr:rowOff>190500</xdr:rowOff>
    </xdr:from>
    <xdr:to>
      <xdr:col>9</xdr:col>
      <xdr:colOff>749300</xdr:colOff>
      <xdr:row>19</xdr:row>
      <xdr:rowOff>190500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9B2FA8A-6269-CE4E-B5E3-9758635BF2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901FB-7376-2B41-B571-9F9FED697657}">
  <sheetPr codeName="Sheet1"/>
  <dimension ref="A1:M26"/>
  <sheetViews>
    <sheetView workbookViewId="0">
      <selection activeCell="F14" sqref="F14"/>
    </sheetView>
  </sheetViews>
  <sheetFormatPr baseColWidth="10" defaultRowHeight="18"/>
  <cols>
    <col min="5" max="5" width="10.7109375" customWidth="1"/>
  </cols>
  <sheetData>
    <row r="1" spans="1:13">
      <c r="A1" t="s">
        <v>17</v>
      </c>
      <c r="E1" t="s">
        <v>16</v>
      </c>
    </row>
    <row r="2" spans="1:13">
      <c r="B2">
        <v>163</v>
      </c>
      <c r="C2">
        <v>1</v>
      </c>
      <c r="E2" t="s">
        <v>14</v>
      </c>
      <c r="F2" t="s">
        <v>15</v>
      </c>
      <c r="G2" t="s">
        <v>13</v>
      </c>
      <c r="I2" t="s">
        <v>21</v>
      </c>
      <c r="J2">
        <v>5</v>
      </c>
      <c r="K2">
        <v>163</v>
      </c>
      <c r="L2">
        <v>1</v>
      </c>
      <c r="M2">
        <v>5</v>
      </c>
    </row>
    <row r="3" spans="1:13">
      <c r="B3">
        <v>162</v>
      </c>
      <c r="C3">
        <v>1</v>
      </c>
      <c r="F3">
        <f>_xlfn.T.INV(1-0.05/2, 10-1)</f>
        <v>2.2621571627982049</v>
      </c>
      <c r="G3">
        <f xml:space="preserve"> (12.2 - 12)/(0.2 / SQRT(10))</f>
        <v>3.1622776601683684</v>
      </c>
      <c r="H3" t="s">
        <v>18</v>
      </c>
      <c r="I3">
        <f>2*(1-_xlfn.T.DIST(G3,10-1,TRUE))</f>
        <v>1.1507985165943868E-2</v>
      </c>
      <c r="J3">
        <v>23</v>
      </c>
      <c r="K3">
        <v>162</v>
      </c>
      <c r="L3">
        <v>1</v>
      </c>
      <c r="M3">
        <v>23</v>
      </c>
    </row>
    <row r="4" spans="1:13">
      <c r="B4">
        <v>172</v>
      </c>
      <c r="C4">
        <v>1</v>
      </c>
      <c r="E4">
        <f>_xlfn.T.INV(1-0.05, 10-1)</f>
        <v>1.8331129326562368</v>
      </c>
      <c r="G4">
        <f xml:space="preserve"> (12.2 - 12)/(0.2 / SQRT(10))</f>
        <v>3.1622776601683684</v>
      </c>
      <c r="H4" t="s">
        <v>18</v>
      </c>
      <c r="I4">
        <f>1-_xlfn.T.DIST(G4,10-1, TRUE)</f>
        <v>5.7539925829719341E-3</v>
      </c>
      <c r="J4">
        <v>20</v>
      </c>
      <c r="K4">
        <v>157</v>
      </c>
      <c r="L4">
        <v>2</v>
      </c>
      <c r="M4">
        <v>20</v>
      </c>
    </row>
    <row r="5" spans="1:13">
      <c r="B5">
        <v>161</v>
      </c>
      <c r="C5">
        <v>1</v>
      </c>
      <c r="E5">
        <f>_xlfn.T.INV(1-0.05,16-1)</f>
        <v>1.7530503556925723</v>
      </c>
      <c r="G5">
        <f>J20</f>
        <v>2.0573054326815106</v>
      </c>
      <c r="H5" t="s">
        <v>18</v>
      </c>
      <c r="I5">
        <f>1-_xlfn.T.DIST(G5, 16-1, TRUE)</f>
        <v>2.8739001872579051E-2</v>
      </c>
      <c r="J5">
        <v>1</v>
      </c>
      <c r="K5">
        <v>172</v>
      </c>
      <c r="L5">
        <v>1</v>
      </c>
      <c r="M5">
        <v>1</v>
      </c>
    </row>
    <row r="6" spans="1:13">
      <c r="B6">
        <v>162</v>
      </c>
      <c r="C6">
        <v>1</v>
      </c>
      <c r="E6">
        <f>_xlfn.T.INV(1-0.05,K17-1)</f>
        <v>1.7613101357748921</v>
      </c>
      <c r="G6">
        <f>K20</f>
        <v>2.8627123416821774</v>
      </c>
      <c r="H6" t="s">
        <v>18</v>
      </c>
      <c r="I6">
        <f>1-_xlfn.T.DIST(G6,K17-1,TRUE)</f>
        <v>6.265828275223595E-3</v>
      </c>
      <c r="J6">
        <v>10</v>
      </c>
      <c r="K6">
        <v>161</v>
      </c>
      <c r="L6">
        <v>1</v>
      </c>
      <c r="M6">
        <v>10</v>
      </c>
    </row>
    <row r="7" spans="1:13">
      <c r="B7">
        <v>158</v>
      </c>
      <c r="C7">
        <v>1</v>
      </c>
      <c r="J7">
        <v>15</v>
      </c>
      <c r="K7">
        <v>165</v>
      </c>
      <c r="L7">
        <v>2</v>
      </c>
      <c r="M7">
        <v>15</v>
      </c>
    </row>
    <row r="8" spans="1:13">
      <c r="B8">
        <v>159</v>
      </c>
      <c r="C8">
        <v>1</v>
      </c>
      <c r="E8" t="s">
        <v>22</v>
      </c>
      <c r="J8">
        <v>15</v>
      </c>
      <c r="K8">
        <v>162</v>
      </c>
      <c r="L8">
        <v>1</v>
      </c>
      <c r="M8">
        <v>15</v>
      </c>
    </row>
    <row r="9" spans="1:13">
      <c r="B9">
        <v>168</v>
      </c>
      <c r="C9">
        <v>1</v>
      </c>
      <c r="E9" t="s">
        <v>24</v>
      </c>
      <c r="F9" t="s">
        <v>25</v>
      </c>
      <c r="G9" t="s">
        <v>23</v>
      </c>
      <c r="I9" t="s">
        <v>27</v>
      </c>
      <c r="J9">
        <v>10</v>
      </c>
      <c r="K9">
        <v>165</v>
      </c>
      <c r="L9">
        <v>2</v>
      </c>
      <c r="M9">
        <v>10</v>
      </c>
    </row>
    <row r="10" spans="1:13">
      <c r="B10">
        <v>170</v>
      </c>
      <c r="C10">
        <v>1</v>
      </c>
      <c r="E10">
        <f>_xlfn.NORM.INV(1-0.05,0,1)</f>
        <v>1.6448536269514715</v>
      </c>
      <c r="G10">
        <f>(0.7-0.6)/SQRT(0.6*(1-0.6)/50)</f>
        <v>1.4433756729740641</v>
      </c>
      <c r="H10" t="s">
        <v>26</v>
      </c>
      <c r="I10">
        <f>1-_xlfn.NORM.DIST(1.44,0,1,TRUE)</f>
        <v>7.4933699534327047E-2</v>
      </c>
      <c r="J10">
        <v>9</v>
      </c>
      <c r="K10">
        <v>158</v>
      </c>
      <c r="L10">
        <v>1</v>
      </c>
      <c r="M10">
        <v>9</v>
      </c>
    </row>
    <row r="11" spans="1:13">
      <c r="B11">
        <v>157</v>
      </c>
      <c r="C11">
        <v>2</v>
      </c>
      <c r="J11">
        <v>13</v>
      </c>
      <c r="K11">
        <v>159</v>
      </c>
      <c r="L11">
        <v>1</v>
      </c>
      <c r="M11">
        <v>13</v>
      </c>
    </row>
    <row r="12" spans="1:13">
      <c r="B12">
        <v>165</v>
      </c>
      <c r="C12">
        <v>2</v>
      </c>
      <c r="E12" t="s">
        <v>28</v>
      </c>
      <c r="J12">
        <v>18</v>
      </c>
      <c r="K12">
        <v>160</v>
      </c>
      <c r="L12">
        <v>2</v>
      </c>
      <c r="M12">
        <v>18</v>
      </c>
    </row>
    <row r="13" spans="1:13">
      <c r="B13">
        <v>165</v>
      </c>
      <c r="C13">
        <v>2</v>
      </c>
      <c r="E13" t="s">
        <v>29</v>
      </c>
      <c r="F13" t="s">
        <v>32</v>
      </c>
      <c r="G13" t="s">
        <v>30</v>
      </c>
      <c r="I13" t="s">
        <v>31</v>
      </c>
      <c r="J13">
        <v>11</v>
      </c>
      <c r="K13">
        <v>161</v>
      </c>
      <c r="L13">
        <v>2</v>
      </c>
      <c r="M13">
        <v>11</v>
      </c>
    </row>
    <row r="14" spans="1:13">
      <c r="B14">
        <v>160</v>
      </c>
      <c r="C14">
        <v>2</v>
      </c>
      <c r="F14">
        <f>_xlfn.CHISQ.INV.RT(1-0.05,10-1)</f>
        <v>3.3251128430668162</v>
      </c>
      <c r="G14">
        <f>(10-1) * 0.16 / 1</f>
        <v>1.44</v>
      </c>
      <c r="H14" t="s">
        <v>18</v>
      </c>
      <c r="I14">
        <f>1-_xlfn.CHISQ.DIST.RT(1.44, 10-1)</f>
        <v>2.4321150334607466E-3</v>
      </c>
      <c r="J14">
        <v>18</v>
      </c>
      <c r="K14">
        <v>165</v>
      </c>
      <c r="L14">
        <v>2</v>
      </c>
    </row>
    <row r="15" spans="1:13">
      <c r="B15">
        <v>161</v>
      </c>
      <c r="C15">
        <v>2</v>
      </c>
      <c r="E15">
        <f>_xlfn.CHISQ.INV.RT(0.05,12-1)</f>
        <v>19.675137572682498</v>
      </c>
      <c r="G15">
        <f>(12-1)*38.63/16</f>
        <v>26.558125</v>
      </c>
      <c r="H15" t="s">
        <v>18</v>
      </c>
      <c r="J15">
        <v>20</v>
      </c>
      <c r="K15">
        <v>168</v>
      </c>
      <c r="L15">
        <v>1</v>
      </c>
    </row>
    <row r="16" spans="1:13">
      <c r="B16">
        <v>165</v>
      </c>
      <c r="C16">
        <v>2</v>
      </c>
      <c r="J16">
        <v>19</v>
      </c>
      <c r="K16">
        <v>170</v>
      </c>
      <c r="L16">
        <v>1</v>
      </c>
    </row>
    <row r="17" spans="1:13">
      <c r="B17">
        <f>COUNT(B2:B16)</f>
        <v>15</v>
      </c>
      <c r="D17" t="s">
        <v>0</v>
      </c>
      <c r="E17">
        <f>_xlfn.T.INV(1-0.025, B17-1)</f>
        <v>2.1447866879178035</v>
      </c>
      <c r="J17">
        <v>19</v>
      </c>
      <c r="K17">
        <f>COUNT(K2:K16)</f>
        <v>15</v>
      </c>
      <c r="M17">
        <f>COUNT(M2:M13)</f>
        <v>12</v>
      </c>
    </row>
    <row r="18" spans="1:13">
      <c r="A18" t="s">
        <v>4</v>
      </c>
      <c r="B18">
        <f>_xlfn.VAR.S(B2:B16)</f>
        <v>18.74285714285714</v>
      </c>
      <c r="D18" t="s">
        <v>11</v>
      </c>
      <c r="I18" t="s">
        <v>1</v>
      </c>
      <c r="J18">
        <f>AVERAGE(J2:J17)</f>
        <v>14.125</v>
      </c>
      <c r="K18">
        <f>AVERAGE(K2:K16)</f>
        <v>163.19999999999999</v>
      </c>
      <c r="M18">
        <f>AVERAGE(M2:M13)</f>
        <v>12.5</v>
      </c>
    </row>
    <row r="19" spans="1:13">
      <c r="A19" t="s">
        <v>1</v>
      </c>
      <c r="B19">
        <f>AVERAGE(B2:B16)</f>
        <v>163.19999999999999</v>
      </c>
      <c r="D19" t="s">
        <v>5</v>
      </c>
      <c r="I19" t="s">
        <v>19</v>
      </c>
      <c r="J19">
        <f>_xlfn.VAR.S(J2:J17)</f>
        <v>36.916666666666664</v>
      </c>
      <c r="K19">
        <f>_xlfn.VAR.S(K2:K16)</f>
        <v>18.74285714285714</v>
      </c>
      <c r="M19">
        <f>_xlfn.VAR.S(M2:M13)</f>
        <v>38.636363636363633</v>
      </c>
    </row>
    <row r="20" spans="1:13">
      <c r="D20" t="s">
        <v>6</v>
      </c>
      <c r="E20">
        <f>E17*SQRT(B18) / SQRT(B17)</f>
        <v>2.3974876208847262</v>
      </c>
      <c r="I20" t="s">
        <v>20</v>
      </c>
      <c r="J20">
        <f>(J18-11)/SQRT(J19/16)</f>
        <v>2.0573054326815106</v>
      </c>
      <c r="K20">
        <f>(K18-160)/SQRT(K19/K17)</f>
        <v>2.8627123416821774</v>
      </c>
    </row>
    <row r="21" spans="1:13">
      <c r="D21" t="s">
        <v>7</v>
      </c>
      <c r="E21">
        <f>B19-E20</f>
        <v>160.80251237911526</v>
      </c>
      <c r="F21">
        <f>B19+E20</f>
        <v>165.59748762088472</v>
      </c>
      <c r="G21" t="s">
        <v>8</v>
      </c>
    </row>
    <row r="22" spans="1:13">
      <c r="D22" t="s">
        <v>12</v>
      </c>
    </row>
    <row r="23" spans="1:13">
      <c r="A23" t="s">
        <v>2</v>
      </c>
      <c r="B23">
        <f>AVERAGEIF(C$2:C$16, C23, B$2:B$16)</f>
        <v>163.88888888888889</v>
      </c>
      <c r="C23">
        <v>1</v>
      </c>
      <c r="D23" t="s">
        <v>6</v>
      </c>
      <c r="E23">
        <f>E17*SQRT(B24/C24)</f>
        <v>3.5286728586527016</v>
      </c>
    </row>
    <row r="24" spans="1:13">
      <c r="A24" t="s">
        <v>9</v>
      </c>
      <c r="B24">
        <f>_xlfn.VAR.S(B2:B10)</f>
        <v>24.361111111111114</v>
      </c>
      <c r="C24">
        <f>COUNT(C2:C10)</f>
        <v>9</v>
      </c>
      <c r="D24" t="s">
        <v>7</v>
      </c>
      <c r="E24">
        <f>B23-E23</f>
        <v>160.36021603023619</v>
      </c>
      <c r="F24">
        <f>B23+E23</f>
        <v>167.41756174754158</v>
      </c>
      <c r="G24" t="s">
        <v>8</v>
      </c>
    </row>
    <row r="25" spans="1:13">
      <c r="A25" t="s">
        <v>3</v>
      </c>
      <c r="B25">
        <f>AVERAGEIF(C$2:C$16, C25, B$2:B$16)</f>
        <v>162.16666666666666</v>
      </c>
      <c r="C25">
        <v>2</v>
      </c>
      <c r="D25" t="s">
        <v>6</v>
      </c>
      <c r="E25">
        <f>E17*SQRT(B26/C26)</f>
        <v>2.9520590633246262</v>
      </c>
    </row>
    <row r="26" spans="1:13">
      <c r="A26" t="s">
        <v>10</v>
      </c>
      <c r="B26">
        <f>_xlfn.VAR.S(B11:B16)</f>
        <v>11.366666666666665</v>
      </c>
      <c r="C26">
        <f>COUNT(C11:C16)</f>
        <v>6</v>
      </c>
      <c r="D26" t="s">
        <v>7</v>
      </c>
      <c r="E26">
        <f>B25-E25</f>
        <v>159.21460760334202</v>
      </c>
      <c r="F26">
        <f>B25+E25</f>
        <v>165.1187257299913</v>
      </c>
      <c r="G26" t="s">
        <v>8</v>
      </c>
    </row>
  </sheetData>
  <sortState xmlns:xlrd2="http://schemas.microsoft.com/office/spreadsheetml/2017/richdata2" ref="B2:C16">
    <sortCondition ref="C2:C16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121E2-09F7-344D-9EED-FC693E69E739}">
  <sheetPr codeName="Sheet2"/>
  <dimension ref="A1:P24"/>
  <sheetViews>
    <sheetView workbookViewId="0">
      <selection activeCell="P25" sqref="P25"/>
    </sheetView>
  </sheetViews>
  <sheetFormatPr baseColWidth="10" defaultRowHeight="18"/>
  <sheetData>
    <row r="1" spans="2:15">
      <c r="B1" t="s">
        <v>43</v>
      </c>
      <c r="E1" t="s">
        <v>44</v>
      </c>
      <c r="H1" t="s">
        <v>45</v>
      </c>
      <c r="L1" t="s">
        <v>46</v>
      </c>
      <c r="O1" t="s">
        <v>50</v>
      </c>
    </row>
    <row r="2" spans="2:15">
      <c r="B2">
        <v>154</v>
      </c>
      <c r="E2">
        <v>3</v>
      </c>
      <c r="F2">
        <v>4</v>
      </c>
      <c r="H2">
        <v>5.2</v>
      </c>
      <c r="I2">
        <v>4.2</v>
      </c>
      <c r="J2">
        <v>5.2</v>
      </c>
      <c r="O2">
        <v>226</v>
      </c>
    </row>
    <row r="3" spans="2:15">
      <c r="B3">
        <v>154</v>
      </c>
      <c r="E3">
        <v>3</v>
      </c>
      <c r="F3">
        <v>1</v>
      </c>
      <c r="H3">
        <v>5</v>
      </c>
      <c r="I3">
        <v>5.4</v>
      </c>
      <c r="J3">
        <v>4.7</v>
      </c>
      <c r="O3">
        <v>228</v>
      </c>
    </row>
    <row r="4" spans="2:15">
      <c r="B4">
        <v>186</v>
      </c>
      <c r="E4">
        <v>1</v>
      </c>
      <c r="F4">
        <v>1</v>
      </c>
      <c r="H4">
        <v>4.8</v>
      </c>
      <c r="I4">
        <v>4.8</v>
      </c>
      <c r="J4">
        <v>4.8</v>
      </c>
      <c r="O4">
        <v>226</v>
      </c>
    </row>
    <row r="5" spans="2:15">
      <c r="B5">
        <v>243</v>
      </c>
      <c r="E5">
        <v>1</v>
      </c>
      <c r="F5">
        <v>4</v>
      </c>
      <c r="H5">
        <v>5.3</v>
      </c>
      <c r="I5">
        <v>5.2</v>
      </c>
      <c r="J5">
        <v>5</v>
      </c>
      <c r="O5">
        <v>225</v>
      </c>
    </row>
    <row r="6" spans="2:15">
      <c r="B6">
        <v>159</v>
      </c>
      <c r="E6">
        <v>0.5</v>
      </c>
      <c r="F6">
        <v>2</v>
      </c>
      <c r="H6">
        <v>5.0999999999999996</v>
      </c>
      <c r="I6">
        <v>5.0999999999999996</v>
      </c>
      <c r="J6">
        <v>4.9000000000000004</v>
      </c>
      <c r="O6">
        <v>232</v>
      </c>
    </row>
    <row r="7" spans="2:15">
      <c r="B7">
        <v>174</v>
      </c>
      <c r="E7">
        <v>2</v>
      </c>
      <c r="F7">
        <v>5</v>
      </c>
      <c r="H7">
        <v>4.7</v>
      </c>
      <c r="I7">
        <v>5.3</v>
      </c>
      <c r="O7">
        <v>228</v>
      </c>
    </row>
    <row r="8" spans="2:15">
      <c r="B8">
        <v>183</v>
      </c>
      <c r="E8">
        <v>2</v>
      </c>
      <c r="F8">
        <v>3</v>
      </c>
      <c r="H8">
        <v>4.9000000000000004</v>
      </c>
      <c r="I8">
        <v>4.7</v>
      </c>
      <c r="O8">
        <v>227</v>
      </c>
    </row>
    <row r="9" spans="2:15">
      <c r="B9">
        <v>163</v>
      </c>
      <c r="E9">
        <v>4</v>
      </c>
      <c r="F9">
        <v>1</v>
      </c>
      <c r="H9">
        <v>4.5999999999999996</v>
      </c>
      <c r="I9">
        <v>5.6</v>
      </c>
      <c r="O9">
        <v>229</v>
      </c>
    </row>
    <row r="10" spans="2:15">
      <c r="B10">
        <v>192</v>
      </c>
      <c r="E10">
        <v>5</v>
      </c>
      <c r="F10">
        <v>1</v>
      </c>
      <c r="H10">
        <v>4.5</v>
      </c>
      <c r="I10">
        <v>5.5</v>
      </c>
      <c r="O10">
        <v>225</v>
      </c>
    </row>
    <row r="11" spans="2:15">
      <c r="B11">
        <v>181</v>
      </c>
      <c r="E11">
        <v>4</v>
      </c>
      <c r="F11">
        <v>1</v>
      </c>
      <c r="H11">
        <v>5.2</v>
      </c>
      <c r="I11">
        <v>4.8</v>
      </c>
      <c r="O11">
        <v>230</v>
      </c>
    </row>
    <row r="12" spans="2:15">
      <c r="E12">
        <v>5</v>
      </c>
      <c r="F12">
        <v>0.75</v>
      </c>
    </row>
    <row r="13" spans="2:15">
      <c r="E13">
        <v>3</v>
      </c>
      <c r="F13">
        <v>1.5</v>
      </c>
    </row>
    <row r="14" spans="2:15">
      <c r="E14">
        <v>1</v>
      </c>
      <c r="F14">
        <v>3</v>
      </c>
    </row>
    <row r="15" spans="2:15">
      <c r="E15">
        <v>3</v>
      </c>
      <c r="F15">
        <v>3</v>
      </c>
    </row>
    <row r="16" spans="2:15">
      <c r="E16">
        <v>1</v>
      </c>
      <c r="F16">
        <v>2</v>
      </c>
    </row>
    <row r="18" spans="1:16">
      <c r="A18" t="s">
        <v>33</v>
      </c>
      <c r="B18">
        <f>COUNT(B2:B11)</f>
        <v>10</v>
      </c>
      <c r="E18">
        <f>COUNT(E2:F16)</f>
        <v>30</v>
      </c>
      <c r="H18">
        <f>COUNT(H2:J11)</f>
        <v>25</v>
      </c>
      <c r="O18">
        <f>COUNT(O2:O11)</f>
        <v>10</v>
      </c>
    </row>
    <row r="19" spans="1:16">
      <c r="A19" t="s">
        <v>1</v>
      </c>
      <c r="B19">
        <f>AVERAGE(B2:B11)</f>
        <v>178.9</v>
      </c>
      <c r="E19">
        <f>AVERAGE(E2:F16)</f>
        <v>2.3916666666666666</v>
      </c>
      <c r="H19">
        <f>AVERAGE(H2:J11)</f>
        <v>4.9799999999999995</v>
      </c>
      <c r="O19">
        <f>AVERAGE(O2:O11)</f>
        <v>227.6</v>
      </c>
    </row>
    <row r="20" spans="1:16">
      <c r="A20" t="s">
        <v>19</v>
      </c>
      <c r="B20">
        <f>_xlfn.VAR.S(B2:B11)</f>
        <v>696.10000000000264</v>
      </c>
      <c r="E20">
        <f>_xlfn.VAR.S(E2:F16)</f>
        <v>2.0158764367816095</v>
      </c>
      <c r="H20">
        <f>_xlfn.VAR.S(H2:J11)</f>
        <v>0.10916666666666668</v>
      </c>
      <c r="O20">
        <f>_xlfn.VAR.S(O2:O11)</f>
        <v>5.155555555555555</v>
      </c>
    </row>
    <row r="21" spans="1:16">
      <c r="B21" t="s">
        <v>38</v>
      </c>
      <c r="C21" t="s">
        <v>39</v>
      </c>
      <c r="E21" t="s">
        <v>40</v>
      </c>
      <c r="F21" t="s">
        <v>41</v>
      </c>
      <c r="H21" t="s">
        <v>36</v>
      </c>
      <c r="I21" t="s">
        <v>37</v>
      </c>
      <c r="L21" t="s">
        <v>47</v>
      </c>
      <c r="M21" t="s">
        <v>48</v>
      </c>
      <c r="O21" t="s">
        <v>51</v>
      </c>
      <c r="P21" t="s">
        <v>52</v>
      </c>
    </row>
    <row r="22" spans="1:16">
      <c r="B22" t="s">
        <v>34</v>
      </c>
      <c r="C22" t="s">
        <v>35</v>
      </c>
      <c r="E22" t="s">
        <v>34</v>
      </c>
      <c r="F22" t="s">
        <v>35</v>
      </c>
      <c r="H22" t="s">
        <v>42</v>
      </c>
      <c r="I22" t="s">
        <v>35</v>
      </c>
      <c r="L22" t="s">
        <v>24</v>
      </c>
      <c r="M22" t="s">
        <v>49</v>
      </c>
      <c r="O22" t="s">
        <v>29</v>
      </c>
      <c r="P22" t="s">
        <v>53</v>
      </c>
    </row>
    <row r="23" spans="1:16">
      <c r="B23">
        <f>_xlfn.T.INV(1-0.05, B18-1)</f>
        <v>1.8331129326562368</v>
      </c>
      <c r="C23">
        <f>(B19-160)/SQRT(B20/B18)</f>
        <v>2.2653013681962055</v>
      </c>
      <c r="E23">
        <f>_xlfn.T.INV(0.05, E18-1)</f>
        <v>-1.6991270265334986</v>
      </c>
      <c r="F23">
        <f>(E19-3)/SQRT(E20/E18)</f>
        <v>-2.3467687000030324</v>
      </c>
      <c r="H23">
        <f>_xlfn.T.INV(1-0.025,H18-1)</f>
        <v>2.0638985616280254</v>
      </c>
      <c r="I23">
        <f>(H19-5)/SQRT(H20/H18)</f>
        <v>-0.30265996338319795</v>
      </c>
      <c r="L23">
        <f>_xlfn.NORM.INV(1-0.05,0,1)</f>
        <v>1.6448536269514715</v>
      </c>
      <c r="M23">
        <f>(0.45-0.4)/SQRT(0.4*(1-0.4)/1000)</f>
        <v>3.2274861218395134</v>
      </c>
      <c r="O23">
        <f>_xlfn.CHISQ.INV.RT(0.05,O18-1)</f>
        <v>16.918977604620451</v>
      </c>
      <c r="P23">
        <f>(O18-1)*O20/(1.5^2)</f>
        <v>20.62222222222222</v>
      </c>
    </row>
    <row r="24" spans="1:16">
      <c r="C24" t="s">
        <v>18</v>
      </c>
      <c r="F24" t="s">
        <v>18</v>
      </c>
      <c r="I24" t="s">
        <v>26</v>
      </c>
      <c r="M24" t="s">
        <v>18</v>
      </c>
      <c r="P24" t="s">
        <v>18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AFD0C-AB14-444C-9F94-F520338696ED}">
  <sheetPr codeName="Sheet3"/>
  <dimension ref="A1:M26"/>
  <sheetViews>
    <sheetView zoomScaleNormal="100" workbookViewId="0">
      <selection activeCell="G23" sqref="G23"/>
    </sheetView>
  </sheetViews>
  <sheetFormatPr baseColWidth="10" defaultRowHeight="18"/>
  <cols>
    <col min="14" max="14" width="12.7109375" bestFit="1" customWidth="1"/>
  </cols>
  <sheetData>
    <row r="1" spans="1:13">
      <c r="A1" t="s">
        <v>54</v>
      </c>
    </row>
    <row r="2" spans="1:13">
      <c r="B2" t="s">
        <v>55</v>
      </c>
      <c r="G2" t="s">
        <v>56</v>
      </c>
    </row>
    <row r="3" spans="1:13">
      <c r="B3" t="s">
        <v>57</v>
      </c>
      <c r="D3" s="1" t="s">
        <v>58</v>
      </c>
      <c r="G3" t="s">
        <v>59</v>
      </c>
      <c r="H3" t="s">
        <v>119</v>
      </c>
      <c r="I3" t="s">
        <v>121</v>
      </c>
      <c r="J3" t="s">
        <v>60</v>
      </c>
    </row>
    <row r="4" spans="1:13" ht="19" thickBot="1">
      <c r="C4" t="s">
        <v>61</v>
      </c>
      <c r="D4" s="2" t="s">
        <v>62</v>
      </c>
      <c r="E4" t="s">
        <v>63</v>
      </c>
      <c r="F4" t="s">
        <v>64</v>
      </c>
      <c r="H4">
        <v>198</v>
      </c>
      <c r="I4">
        <v>196</v>
      </c>
    </row>
    <row r="5" spans="1:13">
      <c r="D5" s="3" t="s">
        <v>65</v>
      </c>
      <c r="H5">
        <v>119</v>
      </c>
      <c r="I5">
        <v>159</v>
      </c>
      <c r="J5" s="9"/>
      <c r="K5" s="9" t="s">
        <v>118</v>
      </c>
      <c r="L5" s="9" t="s">
        <v>120</v>
      </c>
    </row>
    <row r="6" spans="1:13">
      <c r="D6" s="3"/>
      <c r="H6">
        <v>174</v>
      </c>
      <c r="I6">
        <v>162</v>
      </c>
      <c r="J6" s="7" t="s">
        <v>67</v>
      </c>
      <c r="K6" s="7">
        <f>AVERAGE(H4:H13)</f>
        <v>175.1</v>
      </c>
      <c r="L6" s="7">
        <f>AVERAGE(I4:I13)</f>
        <v>173.7</v>
      </c>
    </row>
    <row r="7" spans="1:13">
      <c r="H7">
        <v>235</v>
      </c>
      <c r="I7">
        <v>178</v>
      </c>
      <c r="J7" s="7" t="s">
        <v>68</v>
      </c>
      <c r="K7" s="7">
        <f>_xlfn.VAR.S(H4:H13)</f>
        <v>1831.4333333333359</v>
      </c>
      <c r="L7" s="7">
        <f>_xlfn.VAR.S(I4:I13)</f>
        <v>184.90000000000003</v>
      </c>
    </row>
    <row r="8" spans="1:13">
      <c r="B8" t="s">
        <v>69</v>
      </c>
      <c r="D8" s="3" t="s">
        <v>70</v>
      </c>
      <c r="H8">
        <v>134</v>
      </c>
      <c r="I8">
        <v>188</v>
      </c>
      <c r="J8" s="7" t="s">
        <v>71</v>
      </c>
      <c r="K8" s="7">
        <f>COUNT(H4:H13)</f>
        <v>10</v>
      </c>
      <c r="L8" s="7">
        <f>COUNT(I4:I13)</f>
        <v>10</v>
      </c>
    </row>
    <row r="9" spans="1:13">
      <c r="C9" t="s">
        <v>72</v>
      </c>
      <c r="D9" s="4" t="s">
        <v>73</v>
      </c>
      <c r="H9">
        <v>192</v>
      </c>
      <c r="I9">
        <v>169</v>
      </c>
      <c r="J9" s="7" t="s">
        <v>74</v>
      </c>
      <c r="K9" s="7">
        <f>K8-1</f>
        <v>9</v>
      </c>
      <c r="L9" s="7">
        <f>L8-1</f>
        <v>9</v>
      </c>
    </row>
    <row r="10" spans="1:13">
      <c r="D10" s="3" t="s">
        <v>75</v>
      </c>
      <c r="F10" s="3" t="s">
        <v>76</v>
      </c>
      <c r="H10">
        <v>124</v>
      </c>
      <c r="I10">
        <v>173</v>
      </c>
      <c r="J10" s="7" t="s">
        <v>77</v>
      </c>
      <c r="K10" s="7">
        <f>K7/L7</f>
        <v>9.9049936902830478</v>
      </c>
      <c r="L10" s="7"/>
    </row>
    <row r="11" spans="1:13" ht="19" thickBot="1">
      <c r="D11" s="2" t="s">
        <v>62</v>
      </c>
      <c r="E11" s="1" t="s">
        <v>78</v>
      </c>
      <c r="F11" s="2" t="s">
        <v>62</v>
      </c>
      <c r="H11">
        <v>241</v>
      </c>
      <c r="I11">
        <v>183</v>
      </c>
      <c r="J11" s="8" t="s">
        <v>126</v>
      </c>
      <c r="K11" s="8">
        <f>_xlfn.F.INV.RT(0.05/2,K9,L9)</f>
        <v>4.0259941582829777</v>
      </c>
      <c r="L11" s="8"/>
      <c r="M11" t="s">
        <v>127</v>
      </c>
    </row>
    <row r="12" spans="1:13">
      <c r="D12" s="1" t="s">
        <v>79</v>
      </c>
      <c r="F12" s="1" t="s">
        <v>80</v>
      </c>
      <c r="H12">
        <v>158</v>
      </c>
      <c r="I12">
        <v>177</v>
      </c>
      <c r="M12" t="s">
        <v>122</v>
      </c>
    </row>
    <row r="13" spans="1:13">
      <c r="D13" s="3"/>
      <c r="H13">
        <v>176</v>
      </c>
      <c r="I13">
        <v>152</v>
      </c>
    </row>
    <row r="14" spans="1:13">
      <c r="B14" t="s">
        <v>81</v>
      </c>
      <c r="G14" t="s">
        <v>82</v>
      </c>
      <c r="J14" t="s">
        <v>123</v>
      </c>
    </row>
    <row r="15" spans="1:13" ht="19" thickBot="1">
      <c r="B15" t="s">
        <v>57</v>
      </c>
      <c r="D15" s="1" t="s">
        <v>58</v>
      </c>
    </row>
    <row r="16" spans="1:13">
      <c r="C16" t="s">
        <v>61</v>
      </c>
      <c r="D16" s="2" t="s">
        <v>62</v>
      </c>
      <c r="E16" t="s">
        <v>83</v>
      </c>
      <c r="J16" s="9"/>
      <c r="K16" s="9" t="s">
        <v>118</v>
      </c>
      <c r="L16" s="9" t="s">
        <v>120</v>
      </c>
    </row>
    <row r="17" spans="3:13">
      <c r="D17" s="3" t="s">
        <v>84</v>
      </c>
      <c r="J17" s="7" t="s">
        <v>67</v>
      </c>
      <c r="K17" s="7">
        <f t="shared" ref="K17:L19" si="0">K6</f>
        <v>175.1</v>
      </c>
      <c r="L17" s="7">
        <f t="shared" si="0"/>
        <v>173.7</v>
      </c>
    </row>
    <row r="18" spans="3:13">
      <c r="D18" s="3" t="s">
        <v>66</v>
      </c>
      <c r="J18" s="7" t="s">
        <v>68</v>
      </c>
      <c r="K18" s="7">
        <f t="shared" si="0"/>
        <v>1831.4333333333359</v>
      </c>
      <c r="L18" s="7">
        <f t="shared" si="0"/>
        <v>184.90000000000003</v>
      </c>
    </row>
    <row r="19" spans="3:13">
      <c r="C19" t="s">
        <v>85</v>
      </c>
      <c r="D19" s="4" t="s">
        <v>86</v>
      </c>
      <c r="I19" t="s">
        <v>88</v>
      </c>
      <c r="J19" s="7" t="s">
        <v>71</v>
      </c>
      <c r="K19" s="7">
        <f t="shared" si="0"/>
        <v>10</v>
      </c>
      <c r="L19" s="7">
        <f t="shared" si="0"/>
        <v>10</v>
      </c>
    </row>
    <row r="20" spans="3:13">
      <c r="D20" s="3" t="s">
        <v>87</v>
      </c>
      <c r="J20" s="7" t="s">
        <v>89</v>
      </c>
      <c r="K20" s="7">
        <v>0</v>
      </c>
      <c r="L20" s="7"/>
      <c r="M20">
        <f>(K18/K19 + L18/L19)^2</f>
        <v>40656.001111111225</v>
      </c>
    </row>
    <row r="21" spans="3:13">
      <c r="I21" t="s">
        <v>90</v>
      </c>
      <c r="J21" s="7" t="s">
        <v>74</v>
      </c>
      <c r="K21">
        <f>ROUNDUP(M20/M21, 0)</f>
        <v>11</v>
      </c>
      <c r="L21" s="7"/>
      <c r="M21">
        <f>(K18/K19)^2/(K19-1) + (L18/L19)^2/(L19-1)</f>
        <v>3764.8178493827272</v>
      </c>
    </row>
    <row r="22" spans="3:13">
      <c r="I22" t="s">
        <v>57</v>
      </c>
      <c r="J22" s="7" t="s">
        <v>91</v>
      </c>
      <c r="K22">
        <f>(K17-L17)/SQRT(K18/K19+L18/L19)</f>
        <v>9.8593179164089884E-2</v>
      </c>
      <c r="L22" s="7"/>
    </row>
    <row r="23" spans="3:13">
      <c r="J23" s="7" t="s">
        <v>92</v>
      </c>
      <c r="K23">
        <f>_xlfn.T.DIST.RT(K22, K21)</f>
        <v>0.46161750063056384</v>
      </c>
      <c r="L23" s="7"/>
    </row>
    <row r="24" spans="3:13">
      <c r="J24" s="7" t="s">
        <v>93</v>
      </c>
      <c r="K24">
        <f>_xlfn.T.INV(1-0.05,K21)</f>
        <v>1.795884818704043</v>
      </c>
      <c r="L24" s="7"/>
    </row>
    <row r="25" spans="3:13">
      <c r="I25" t="s">
        <v>95</v>
      </c>
      <c r="J25" s="7" t="s">
        <v>94</v>
      </c>
      <c r="K25">
        <f>_xlfn.T.DIST.2T(K22,K21)</f>
        <v>0.92323500126112767</v>
      </c>
      <c r="L25" s="7"/>
      <c r="M25" t="s">
        <v>124</v>
      </c>
    </row>
    <row r="26" spans="3:13" ht="19" thickBot="1">
      <c r="J26" s="8" t="s">
        <v>96</v>
      </c>
      <c r="K26" s="8">
        <f>_xlfn.T.INV.2T(0.05,K21)</f>
        <v>2.2009851600916384</v>
      </c>
      <c r="L26" s="8"/>
      <c r="M26" t="s">
        <v>125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F55A5-E0FC-9447-86EA-4E728CB23BD7}">
  <sheetPr codeName="Sheet4"/>
  <dimension ref="A2:P22"/>
  <sheetViews>
    <sheetView zoomScaleNormal="100" workbookViewId="0">
      <selection activeCell="H25" sqref="H25"/>
    </sheetView>
  </sheetViews>
  <sheetFormatPr baseColWidth="10" defaultRowHeight="18"/>
  <cols>
    <col min="14" max="14" width="12.7109375" bestFit="1" customWidth="1"/>
  </cols>
  <sheetData>
    <row r="2" spans="1:16">
      <c r="G2" t="s">
        <v>97</v>
      </c>
      <c r="I2" t="s">
        <v>141</v>
      </c>
    </row>
    <row r="3" spans="1:16">
      <c r="A3" t="s">
        <v>98</v>
      </c>
      <c r="B3" t="s">
        <v>99</v>
      </c>
      <c r="G3" t="s">
        <v>100</v>
      </c>
      <c r="H3" t="s">
        <v>129</v>
      </c>
      <c r="I3" t="s">
        <v>131</v>
      </c>
      <c r="J3" t="s">
        <v>101</v>
      </c>
      <c r="N3" t="s">
        <v>135</v>
      </c>
    </row>
    <row r="4" spans="1:16" ht="19" thickBot="1">
      <c r="B4" t="s">
        <v>102</v>
      </c>
      <c r="H4" s="5">
        <v>8</v>
      </c>
      <c r="I4" s="5">
        <v>5</v>
      </c>
      <c r="N4" s="10">
        <f>H4-I4</f>
        <v>3</v>
      </c>
      <c r="O4" t="s">
        <v>132</v>
      </c>
      <c r="P4" s="10">
        <f>AVERAGE(N4:N15)</f>
        <v>2.5</v>
      </c>
    </row>
    <row r="5" spans="1:16">
      <c r="B5" s="6" t="s">
        <v>103</v>
      </c>
      <c r="H5" s="5">
        <v>12</v>
      </c>
      <c r="I5" s="5">
        <v>3</v>
      </c>
      <c r="J5" s="9"/>
      <c r="K5" s="9" t="s">
        <v>128</v>
      </c>
      <c r="L5" s="9" t="s">
        <v>130</v>
      </c>
      <c r="N5" s="10">
        <f t="shared" ref="N5:N15" si="0">H5-I5</f>
        <v>9</v>
      </c>
      <c r="O5" t="s">
        <v>136</v>
      </c>
      <c r="P5">
        <f>_xlfn.VAR.S(N4:N15)</f>
        <v>7.7272727272727275</v>
      </c>
    </row>
    <row r="6" spans="1:16">
      <c r="B6" t="s">
        <v>104</v>
      </c>
      <c r="D6" t="s">
        <v>105</v>
      </c>
      <c r="H6" s="5">
        <v>5</v>
      </c>
      <c r="I6" s="5">
        <v>2</v>
      </c>
      <c r="J6" s="7" t="s">
        <v>67</v>
      </c>
      <c r="K6" s="7">
        <v>5.666666666666667</v>
      </c>
      <c r="L6" s="7">
        <v>3.1666666666666665</v>
      </c>
      <c r="M6" s="5">
        <f>AVERAGE(H4:H15)</f>
        <v>5.666666666666667</v>
      </c>
      <c r="N6" s="10">
        <f t="shared" si="0"/>
        <v>3</v>
      </c>
      <c r="O6" t="s">
        <v>137</v>
      </c>
      <c r="P6">
        <f>COUNT(H4:H15)</f>
        <v>12</v>
      </c>
    </row>
    <row r="7" spans="1:16">
      <c r="B7" t="s">
        <v>106</v>
      </c>
      <c r="H7" s="5">
        <v>4</v>
      </c>
      <c r="I7" s="5">
        <v>1</v>
      </c>
      <c r="J7" s="7" t="s">
        <v>68</v>
      </c>
      <c r="K7" s="7">
        <v>8.242424242424244</v>
      </c>
      <c r="L7" s="7">
        <v>1.6060606060606064</v>
      </c>
      <c r="N7" s="10">
        <f t="shared" si="0"/>
        <v>3</v>
      </c>
    </row>
    <row r="8" spans="1:16">
      <c r="B8" t="s">
        <v>57</v>
      </c>
      <c r="H8" s="5">
        <v>6</v>
      </c>
      <c r="I8" s="5">
        <v>4</v>
      </c>
      <c r="J8" s="7" t="s">
        <v>71</v>
      </c>
      <c r="K8" s="7">
        <v>12</v>
      </c>
      <c r="L8" s="7">
        <v>12</v>
      </c>
      <c r="N8" s="10">
        <f t="shared" si="0"/>
        <v>2</v>
      </c>
      <c r="O8" t="s">
        <v>133</v>
      </c>
      <c r="P8">
        <f>P6-1</f>
        <v>11</v>
      </c>
    </row>
    <row r="9" spans="1:16">
      <c r="B9" t="s">
        <v>107</v>
      </c>
      <c r="H9" s="5">
        <v>3</v>
      </c>
      <c r="I9" s="5">
        <v>2</v>
      </c>
      <c r="J9" s="7" t="s">
        <v>108</v>
      </c>
      <c r="K9" s="7">
        <v>0.29150476453558666</v>
      </c>
      <c r="L9" s="7"/>
      <c r="N9" s="10">
        <f t="shared" si="0"/>
        <v>1</v>
      </c>
      <c r="O9" t="s">
        <v>134</v>
      </c>
      <c r="P9">
        <f>P4/SQRT(P5/P6)</f>
        <v>3.115426512203614</v>
      </c>
    </row>
    <row r="10" spans="1:16">
      <c r="B10" t="s">
        <v>109</v>
      </c>
      <c r="H10" s="5">
        <v>4</v>
      </c>
      <c r="I10" s="5">
        <v>2</v>
      </c>
      <c r="J10" s="7" t="s">
        <v>89</v>
      </c>
      <c r="K10" s="7">
        <v>0</v>
      </c>
      <c r="L10" s="7"/>
      <c r="N10" s="10">
        <f t="shared" si="0"/>
        <v>2</v>
      </c>
      <c r="O10" t="s">
        <v>138</v>
      </c>
      <c r="P10">
        <f>_xlfn.T.DIST.RT(P9,P8)</f>
        <v>4.914925644505231E-3</v>
      </c>
    </row>
    <row r="11" spans="1:16">
      <c r="B11" t="s">
        <v>110</v>
      </c>
      <c r="H11" s="5">
        <v>3</v>
      </c>
      <c r="I11" s="5">
        <v>4</v>
      </c>
      <c r="J11" s="7" t="s">
        <v>74</v>
      </c>
      <c r="K11" s="7">
        <v>11</v>
      </c>
      <c r="L11" s="7"/>
      <c r="M11" t="s">
        <v>90</v>
      </c>
      <c r="N11" s="10">
        <f t="shared" si="0"/>
        <v>-1</v>
      </c>
      <c r="O11" t="s">
        <v>139</v>
      </c>
      <c r="P11">
        <f>_xlfn.T.INV(1-0.05,P8)</f>
        <v>1.795884818704043</v>
      </c>
    </row>
    <row r="12" spans="1:16">
      <c r="H12" s="5">
        <v>2</v>
      </c>
      <c r="I12" s="5">
        <v>3</v>
      </c>
      <c r="J12" s="7" t="s">
        <v>91</v>
      </c>
      <c r="K12" s="7">
        <v>3.115426512203614</v>
      </c>
      <c r="L12" s="7"/>
      <c r="M12" t="s">
        <v>111</v>
      </c>
      <c r="N12" s="10">
        <f t="shared" si="0"/>
        <v>-1</v>
      </c>
      <c r="O12" t="s">
        <v>140</v>
      </c>
      <c r="P12">
        <f>_xlfn.T.INV.2T(0.05,P8)</f>
        <v>2.2009851600916384</v>
      </c>
    </row>
    <row r="13" spans="1:16">
      <c r="C13" t="s">
        <v>112</v>
      </c>
      <c r="H13" s="5">
        <v>6</v>
      </c>
      <c r="I13" s="5">
        <v>5</v>
      </c>
      <c r="J13" s="7" t="s">
        <v>92</v>
      </c>
      <c r="K13" s="7">
        <v>4.914925644505231E-3</v>
      </c>
      <c r="L13" s="7"/>
      <c r="M13" t="s">
        <v>113</v>
      </c>
      <c r="N13" s="10">
        <f t="shared" si="0"/>
        <v>1</v>
      </c>
    </row>
    <row r="14" spans="1:16">
      <c r="C14" t="s">
        <v>114</v>
      </c>
      <c r="H14" s="5">
        <v>6</v>
      </c>
      <c r="I14" s="5">
        <v>4</v>
      </c>
      <c r="J14" s="7" t="s">
        <v>93</v>
      </c>
      <c r="K14" s="7">
        <v>1.7958848187040437</v>
      </c>
      <c r="L14" s="7"/>
      <c r="N14" s="10">
        <f t="shared" si="0"/>
        <v>2</v>
      </c>
    </row>
    <row r="15" spans="1:16">
      <c r="C15" t="s">
        <v>115</v>
      </c>
      <c r="H15" s="5">
        <v>9</v>
      </c>
      <c r="I15" s="5">
        <v>3</v>
      </c>
      <c r="J15" s="7" t="s">
        <v>94</v>
      </c>
      <c r="K15" s="7">
        <v>9.829851289010462E-3</v>
      </c>
      <c r="L15" s="7"/>
      <c r="N15" s="10">
        <f t="shared" si="0"/>
        <v>6</v>
      </c>
    </row>
    <row r="16" spans="1:16" ht="19" thickBot="1">
      <c r="C16" t="s">
        <v>116</v>
      </c>
      <c r="J16" s="8" t="s">
        <v>96</v>
      </c>
      <c r="K16" s="8">
        <v>2.2009851600916384</v>
      </c>
      <c r="L16" s="8"/>
    </row>
    <row r="17" spans="3:13">
      <c r="C17" t="s">
        <v>117</v>
      </c>
    </row>
    <row r="18" spans="3:13">
      <c r="G18" s="35">
        <v>3.6823203436732408</v>
      </c>
      <c r="H18" s="35"/>
      <c r="I18" s="35"/>
      <c r="J18" s="35"/>
      <c r="K18" s="35"/>
      <c r="L18" s="35"/>
      <c r="M18" s="35"/>
    </row>
    <row r="19" spans="3:13">
      <c r="G19" s="35">
        <f>_xlfn.F.DIST($G$18,2,15,TRUE)</f>
        <v>0.95</v>
      </c>
      <c r="H19" s="36" t="s">
        <v>145</v>
      </c>
      <c r="I19" s="35"/>
      <c r="J19" s="36" t="s">
        <v>147</v>
      </c>
      <c r="K19" s="35"/>
      <c r="L19" s="35" t="s">
        <v>150</v>
      </c>
      <c r="M19" s="35" t="s">
        <v>154</v>
      </c>
    </row>
    <row r="20" spans="3:13">
      <c r="G20" s="35">
        <f>_xlfn.F.DIST($G$18,2,15,FALSE)</f>
        <v>3.3535079346226127E-2</v>
      </c>
      <c r="H20" s="36" t="s">
        <v>144</v>
      </c>
      <c r="I20" s="35"/>
      <c r="J20" s="36" t="s">
        <v>148</v>
      </c>
      <c r="K20" s="35"/>
      <c r="L20" s="35" t="s">
        <v>149</v>
      </c>
      <c r="M20" s="35" t="s">
        <v>152</v>
      </c>
    </row>
    <row r="21" spans="3:13">
      <c r="G21" s="35">
        <f>_xlfn.F.INV(1-0.05,2,15)</f>
        <v>3.6823203436732408</v>
      </c>
      <c r="H21" s="36" t="s">
        <v>142</v>
      </c>
      <c r="I21" s="35"/>
      <c r="J21" s="36" t="s">
        <v>146</v>
      </c>
      <c r="K21" s="35"/>
      <c r="L21" s="35" t="s">
        <v>151</v>
      </c>
      <c r="M21" s="35" t="s">
        <v>153</v>
      </c>
    </row>
    <row r="22" spans="3:13">
      <c r="G22" s="35">
        <f>_xlfn.F.INV.RT(0.05,2,15)</f>
        <v>3.6823203436732408</v>
      </c>
      <c r="H22" s="36" t="s">
        <v>143</v>
      </c>
      <c r="I22" s="35"/>
      <c r="J22" s="35"/>
      <c r="K22" s="35"/>
      <c r="L22" s="35"/>
      <c r="M22" s="35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1DA-B7CD-1347-B790-1E649C5BB1D0}">
  <sheetPr codeName="Sheet5"/>
  <dimension ref="B1:H36"/>
  <sheetViews>
    <sheetView topLeftCell="A10" zoomScale="101" workbookViewId="0">
      <selection activeCell="E36" sqref="E36"/>
    </sheetView>
  </sheetViews>
  <sheetFormatPr baseColWidth="10" defaultRowHeight="18"/>
  <cols>
    <col min="6" max="6" width="17.5703125" customWidth="1"/>
  </cols>
  <sheetData>
    <row r="1" spans="2:8">
      <c r="B1" t="s">
        <v>170</v>
      </c>
      <c r="G1" t="s">
        <v>171</v>
      </c>
    </row>
    <row r="3" spans="2:8">
      <c r="B3" t="s">
        <v>155</v>
      </c>
      <c r="C3" t="s">
        <v>161</v>
      </c>
      <c r="D3" t="s">
        <v>162</v>
      </c>
      <c r="G3" t="s">
        <v>163</v>
      </c>
      <c r="H3" t="s">
        <v>169</v>
      </c>
    </row>
    <row r="4" spans="2:8">
      <c r="B4" t="s">
        <v>156</v>
      </c>
      <c r="C4">
        <v>98</v>
      </c>
      <c r="D4" s="11">
        <v>0.60099999999999998</v>
      </c>
      <c r="G4" t="s">
        <v>164</v>
      </c>
      <c r="H4" s="12">
        <v>0.48699999999999999</v>
      </c>
    </row>
    <row r="5" spans="2:8">
      <c r="B5" t="s">
        <v>157</v>
      </c>
      <c r="C5">
        <v>33</v>
      </c>
      <c r="D5" s="11">
        <v>0.80400000000000005</v>
      </c>
      <c r="G5" t="s">
        <v>165</v>
      </c>
      <c r="H5" s="12">
        <v>0.26100000000000001</v>
      </c>
    </row>
    <row r="6" spans="2:8">
      <c r="B6" t="s">
        <v>158</v>
      </c>
      <c r="C6">
        <v>20</v>
      </c>
      <c r="D6" s="11">
        <v>0.92600000000000005</v>
      </c>
      <c r="G6" t="s">
        <v>166</v>
      </c>
      <c r="H6" s="12">
        <v>0.151</v>
      </c>
    </row>
    <row r="7" spans="2:8">
      <c r="B7" t="s">
        <v>159</v>
      </c>
      <c r="C7">
        <v>5</v>
      </c>
      <c r="D7" s="11">
        <v>0.95699999999999996</v>
      </c>
      <c r="G7" t="s">
        <v>167</v>
      </c>
      <c r="H7" s="12">
        <v>5.8000000000000003E-2</v>
      </c>
    </row>
    <row r="8" spans="2:8">
      <c r="B8" t="s">
        <v>160</v>
      </c>
      <c r="C8">
        <v>7</v>
      </c>
      <c r="D8" s="11">
        <v>1</v>
      </c>
      <c r="G8" t="s">
        <v>168</v>
      </c>
      <c r="H8" s="12">
        <v>0.03</v>
      </c>
    </row>
    <row r="9" spans="2:8">
      <c r="G9" t="s">
        <v>160</v>
      </c>
      <c r="H9" s="12">
        <v>1.2999999999999999E-2</v>
      </c>
    </row>
    <row r="22" spans="2:6">
      <c r="B22" t="s">
        <v>189</v>
      </c>
    </row>
    <row r="23" spans="2:6">
      <c r="B23" s="13" t="s">
        <v>172</v>
      </c>
      <c r="C23" s="13"/>
      <c r="D23" s="13"/>
    </row>
    <row r="24" spans="2:6">
      <c r="B24" s="21" t="s">
        <v>173</v>
      </c>
      <c r="C24" s="21" t="s">
        <v>181</v>
      </c>
      <c r="D24" s="21" t="s">
        <v>182</v>
      </c>
      <c r="E24" s="25" t="s">
        <v>183</v>
      </c>
      <c r="F24" s="28" t="s">
        <v>188</v>
      </c>
    </row>
    <row r="25" spans="2:6">
      <c r="B25" s="15" t="s">
        <v>174</v>
      </c>
      <c r="C25" s="15">
        <v>10</v>
      </c>
      <c r="D25" s="23">
        <v>7</v>
      </c>
      <c r="E25" s="18">
        <f>C25*D25</f>
        <v>70</v>
      </c>
      <c r="F25" s="29">
        <f>(C25-$D$34)^2*D25</f>
        <v>1019.6195005945306</v>
      </c>
    </row>
    <row r="26" spans="2:6">
      <c r="B26" s="17" t="s">
        <v>175</v>
      </c>
      <c r="C26" s="17">
        <v>15</v>
      </c>
      <c r="D26" s="17">
        <v>2</v>
      </c>
      <c r="E26" s="19">
        <f t="shared" ref="E26:E31" si="0">C26*D26</f>
        <v>30</v>
      </c>
      <c r="F26" s="30">
        <f>(C26-$D$34)^2*D26</f>
        <v>99.940546967895401</v>
      </c>
    </row>
    <row r="27" spans="2:6">
      <c r="B27" s="17" t="s">
        <v>176</v>
      </c>
      <c r="C27" s="17">
        <v>20</v>
      </c>
      <c r="D27" s="17">
        <v>8</v>
      </c>
      <c r="E27" s="19">
        <f t="shared" si="0"/>
        <v>160</v>
      </c>
      <c r="F27" s="30">
        <f t="shared" ref="F27:F31" si="1">(C27-$D$34)^2*D27</f>
        <v>34.244946492271154</v>
      </c>
    </row>
    <row r="28" spans="2:6">
      <c r="B28" s="17" t="s">
        <v>177</v>
      </c>
      <c r="C28" s="17">
        <v>25</v>
      </c>
      <c r="D28" s="17">
        <v>4</v>
      </c>
      <c r="E28" s="19">
        <f t="shared" si="0"/>
        <v>100</v>
      </c>
      <c r="F28" s="30">
        <f t="shared" si="1"/>
        <v>34.363852556480346</v>
      </c>
    </row>
    <row r="29" spans="2:6">
      <c r="B29" s="17" t="s">
        <v>178</v>
      </c>
      <c r="C29" s="17">
        <v>30</v>
      </c>
      <c r="D29" s="17">
        <v>2</v>
      </c>
      <c r="E29" s="19">
        <f t="shared" si="0"/>
        <v>60</v>
      </c>
      <c r="F29" s="30">
        <f t="shared" si="1"/>
        <v>125.80261593341255</v>
      </c>
    </row>
    <row r="30" spans="2:6">
      <c r="B30" s="17" t="s">
        <v>179</v>
      </c>
      <c r="C30" s="17">
        <v>35</v>
      </c>
      <c r="D30" s="17">
        <v>4</v>
      </c>
      <c r="E30" s="19">
        <f t="shared" si="0"/>
        <v>140</v>
      </c>
      <c r="F30" s="30">
        <f t="shared" si="1"/>
        <v>668.84661117716985</v>
      </c>
    </row>
    <row r="31" spans="2:6">
      <c r="B31" s="16" t="s">
        <v>180</v>
      </c>
      <c r="C31" s="16">
        <v>40</v>
      </c>
      <c r="D31" s="24">
        <v>2</v>
      </c>
      <c r="E31" s="20">
        <f t="shared" si="0"/>
        <v>80</v>
      </c>
      <c r="F31" s="31">
        <f t="shared" si="1"/>
        <v>643.04399524375731</v>
      </c>
    </row>
    <row r="32" spans="2:6">
      <c r="B32" s="14"/>
      <c r="C32" s="21" t="s">
        <v>187</v>
      </c>
      <c r="D32" s="21">
        <f>SUM(D25:D31)</f>
        <v>29</v>
      </c>
      <c r="E32" s="26">
        <f>SUM(E25:E31)</f>
        <v>640</v>
      </c>
      <c r="F32" s="32">
        <f>SUM(F25:F31)</f>
        <v>2625.8620689655172</v>
      </c>
    </row>
    <row r="34" spans="3:4">
      <c r="C34" s="22" t="s">
        <v>184</v>
      </c>
      <c r="D34" s="27">
        <f>E32/D32</f>
        <v>22.068965517241381</v>
      </c>
    </row>
    <row r="35" spans="3:4">
      <c r="C35" s="22" t="s">
        <v>185</v>
      </c>
      <c r="D35" s="27">
        <f>F32/(D32-1)</f>
        <v>93.7807881773399</v>
      </c>
    </row>
    <row r="36" spans="3:4">
      <c r="C36" s="22" t="s">
        <v>186</v>
      </c>
      <c r="D36" s="27">
        <f>SQRT(D35)</f>
        <v>9.6840481296480494</v>
      </c>
    </row>
  </sheetData>
  <mergeCells count="1">
    <mergeCell ref="B23:D23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371C2-73C4-4D4A-9929-80AFD3873F43}">
  <sheetPr codeName="Sheet6"/>
  <dimension ref="B1:N102"/>
  <sheetViews>
    <sheetView workbookViewId="0">
      <selection activeCell="M4" sqref="M4"/>
    </sheetView>
  </sheetViews>
  <sheetFormatPr baseColWidth="10" defaultRowHeight="18"/>
  <cols>
    <col min="3" max="3" width="12.7109375" bestFit="1" customWidth="1"/>
    <col min="6" max="6" width="13.28515625" bestFit="1" customWidth="1"/>
  </cols>
  <sheetData>
    <row r="1" spans="2:14">
      <c r="B1" t="s">
        <v>201</v>
      </c>
      <c r="I1" t="s">
        <v>202</v>
      </c>
    </row>
    <row r="2" spans="2:14">
      <c r="B2" t="s">
        <v>190</v>
      </c>
      <c r="C2">
        <v>20</v>
      </c>
      <c r="I2" t="s">
        <v>190</v>
      </c>
      <c r="J2">
        <v>6</v>
      </c>
      <c r="M2" t="s">
        <v>212</v>
      </c>
      <c r="N2" s="5">
        <v>4.5999999046325684</v>
      </c>
    </row>
    <row r="3" spans="2:14">
      <c r="B3" t="s">
        <v>191</v>
      </c>
      <c r="C3">
        <v>0.5</v>
      </c>
      <c r="I3" t="s">
        <v>191</v>
      </c>
      <c r="J3">
        <v>0.5</v>
      </c>
      <c r="N3" s="5">
        <v>6</v>
      </c>
    </row>
    <row r="4" spans="2:14">
      <c r="N4" s="5">
        <v>4.5999999046325684</v>
      </c>
    </row>
    <row r="5" spans="2:14">
      <c r="B5" t="s">
        <v>192</v>
      </c>
      <c r="C5" t="s">
        <v>193</v>
      </c>
      <c r="I5" t="s">
        <v>192</v>
      </c>
      <c r="J5" t="s">
        <v>193</v>
      </c>
      <c r="N5" s="5">
        <v>2.7999999523162842</v>
      </c>
    </row>
    <row r="6" spans="2:14">
      <c r="B6">
        <v>0</v>
      </c>
      <c r="C6">
        <f>_xlfn.BINOM.DIST(B6,$C$2,$C$3,FALSE)</f>
        <v>9.5367431640625E-7</v>
      </c>
      <c r="I6">
        <v>0</v>
      </c>
      <c r="J6" s="33">
        <f>_xlfn.BINOM.DIST(I6,$J$2,$J$3,FALSE)</f>
        <v>1.5625000000000007E-2</v>
      </c>
      <c r="N6" s="5">
        <v>4.6999998092651367</v>
      </c>
    </row>
    <row r="7" spans="2:14">
      <c r="B7">
        <v>1</v>
      </c>
      <c r="C7">
        <f t="shared" ref="C7:C26" si="0">_xlfn.BINOM.DIST(B7,$C$2,$C$3,FALSE)</f>
        <v>1.9073486328125034E-5</v>
      </c>
      <c r="I7">
        <v>1</v>
      </c>
      <c r="J7" s="33">
        <f t="shared" ref="J7:J12" si="1">_xlfn.BINOM.DIST(I7,$J$2,$J$3,FALSE)</f>
        <v>9.375E-2</v>
      </c>
      <c r="N7" s="5">
        <v>4.6999998092651367</v>
      </c>
    </row>
    <row r="8" spans="2:14">
      <c r="B8">
        <v>2</v>
      </c>
      <c r="C8">
        <f t="shared" si="0"/>
        <v>1.8119812011718755E-4</v>
      </c>
      <c r="I8">
        <v>2</v>
      </c>
      <c r="J8" s="33">
        <f t="shared" si="1"/>
        <v>0.23437500000000003</v>
      </c>
      <c r="N8" s="5">
        <v>4.4000000953674316</v>
      </c>
    </row>
    <row r="9" spans="2:14">
      <c r="B9">
        <v>3</v>
      </c>
      <c r="C9">
        <f t="shared" si="0"/>
        <v>1.0871887207031263E-3</v>
      </c>
      <c r="I9">
        <v>3</v>
      </c>
      <c r="J9" s="33">
        <f t="shared" si="1"/>
        <v>0.31249999999999994</v>
      </c>
      <c r="N9" s="5">
        <v>5.1999998092651367</v>
      </c>
    </row>
    <row r="10" spans="2:14">
      <c r="B10">
        <v>4</v>
      </c>
      <c r="C10">
        <f t="shared" si="0"/>
        <v>4.6205520629882752E-3</v>
      </c>
      <c r="I10">
        <v>4</v>
      </c>
      <c r="J10" s="33">
        <f t="shared" si="1"/>
        <v>0.23437500000000003</v>
      </c>
      <c r="N10" s="5">
        <v>3.5</v>
      </c>
    </row>
    <row r="11" spans="2:14">
      <c r="B11">
        <v>5</v>
      </c>
      <c r="C11">
        <f t="shared" si="0"/>
        <v>1.4785766601562502E-2</v>
      </c>
      <c r="I11">
        <v>5</v>
      </c>
      <c r="J11" s="33">
        <f t="shared" si="1"/>
        <v>9.375E-2</v>
      </c>
      <c r="N11" s="5">
        <v>3.9000000953674316</v>
      </c>
    </row>
    <row r="12" spans="2:14">
      <c r="B12">
        <v>6</v>
      </c>
      <c r="C12">
        <f t="shared" si="0"/>
        <v>3.6964416503906257E-2</v>
      </c>
      <c r="I12">
        <v>6</v>
      </c>
      <c r="J12" s="33">
        <f t="shared" si="1"/>
        <v>1.5625000000000007E-2</v>
      </c>
      <c r="N12" s="5">
        <v>5.6999998092651367</v>
      </c>
    </row>
    <row r="13" spans="2:14">
      <c r="B13">
        <v>7</v>
      </c>
      <c r="C13">
        <f t="shared" si="0"/>
        <v>7.3928833007812458E-2</v>
      </c>
      <c r="N13" s="5">
        <v>4.4000000953674316</v>
      </c>
    </row>
    <row r="14" spans="2:14">
      <c r="B14">
        <v>8</v>
      </c>
      <c r="C14">
        <f t="shared" si="0"/>
        <v>0.12013435363769531</v>
      </c>
      <c r="N14" s="5">
        <v>4.1999998092651367</v>
      </c>
    </row>
    <row r="15" spans="2:14">
      <c r="B15">
        <v>9</v>
      </c>
      <c r="C15">
        <f t="shared" si="0"/>
        <v>0.16017913818359369</v>
      </c>
      <c r="N15" s="5">
        <v>4.8000001907348633</v>
      </c>
    </row>
    <row r="16" spans="2:14">
      <c r="B16">
        <v>10</v>
      </c>
      <c r="C16">
        <f t="shared" si="0"/>
        <v>0.17619705200195307</v>
      </c>
      <c r="N16" s="5">
        <v>4.8000001907348633</v>
      </c>
    </row>
    <row r="17" spans="2:14">
      <c r="B17">
        <v>11</v>
      </c>
      <c r="C17">
        <f t="shared" si="0"/>
        <v>0.16017913818359369</v>
      </c>
      <c r="N17" s="5">
        <v>5</v>
      </c>
    </row>
    <row r="18" spans="2:14">
      <c r="B18">
        <v>12</v>
      </c>
      <c r="C18">
        <f t="shared" si="0"/>
        <v>0.12013435363769531</v>
      </c>
      <c r="E18" t="s">
        <v>194</v>
      </c>
      <c r="F18" s="33">
        <f>1-_xlfn.BINOM.DIST(6,25,0.1,TRUE)</f>
        <v>9.4763606915064802E-3</v>
      </c>
      <c r="G18" s="33"/>
      <c r="N18" s="5">
        <v>6.3000001907348633</v>
      </c>
    </row>
    <row r="19" spans="2:14">
      <c r="B19">
        <v>13</v>
      </c>
      <c r="C19">
        <f t="shared" si="0"/>
        <v>7.3928833007812472E-2</v>
      </c>
      <c r="E19" t="s">
        <v>195</v>
      </c>
      <c r="F19" s="33">
        <f>1-_xlfn.BINOM.DIST(4,10,0.5,TRUE)</f>
        <v>0.623046875</v>
      </c>
      <c r="G19" s="33">
        <f>_xlfn.BINOM.DIST(6,10,0.5,TRUE)-_xlfn.BINOM.DIST(2,10,0.5,TRUE)</f>
        <v>0.7734375</v>
      </c>
      <c r="N19" s="5">
        <v>6.5</v>
      </c>
    </row>
    <row r="20" spans="2:14">
      <c r="B20">
        <v>14</v>
      </c>
      <c r="C20">
        <f t="shared" si="0"/>
        <v>3.6964416503906257E-2</v>
      </c>
      <c r="E20" t="s">
        <v>196</v>
      </c>
      <c r="F20" s="33">
        <f>1-_xlfn.POISSON.DIST(4,5,TRUE)</f>
        <v>0.55950671493478765</v>
      </c>
      <c r="G20" s="33">
        <f>_xlfn.POISSON.DIST(6,5,TRUE)-_xlfn.POISSON.DIST(2,5,TRUE)</f>
        <v>0.63753144348985746</v>
      </c>
      <c r="N20" s="5">
        <v>4</v>
      </c>
    </row>
    <row r="21" spans="2:14">
      <c r="B21">
        <v>15</v>
      </c>
      <c r="C21">
        <f t="shared" si="0"/>
        <v>1.4785766601562502E-2</v>
      </c>
      <c r="E21" t="s">
        <v>197</v>
      </c>
      <c r="F21" s="33">
        <f>1-_xlfn.NORM.DIST(114,100,5,TRUE)</f>
        <v>2.5551303304279793E-3</v>
      </c>
      <c r="G21" s="33">
        <f>_xlfn.NORM.DIST(105,100,5,TRUE)-_xlfn.NORM.DIST(94,100,5,TRUE)</f>
        <v>0.72627507584683482</v>
      </c>
      <c r="N21" s="5">
        <v>3.7000000476837158</v>
      </c>
    </row>
    <row r="22" spans="2:14">
      <c r="B22">
        <v>16</v>
      </c>
      <c r="C22">
        <f t="shared" si="0"/>
        <v>4.6205520629882752E-3</v>
      </c>
      <c r="E22" t="s">
        <v>198</v>
      </c>
      <c r="F22" s="33">
        <f>_xlfn.BINOM.DIST(0,20,0.2,FALSE)</f>
        <v>1.1529215046068471E-2</v>
      </c>
      <c r="N22" s="5">
        <v>5.8000001907348633</v>
      </c>
    </row>
    <row r="23" spans="2:14">
      <c r="B23">
        <v>17</v>
      </c>
      <c r="C23">
        <f t="shared" si="0"/>
        <v>1.0871887207031261E-3</v>
      </c>
      <c r="E23" t="s">
        <v>199</v>
      </c>
      <c r="F23" s="33">
        <f>1-_xlfn.BINOM.DIST(7,20,0.2,TRUE)</f>
        <v>3.21426630808751E-2</v>
      </c>
      <c r="N23" s="5">
        <v>6.8000001907348633</v>
      </c>
    </row>
    <row r="24" spans="2:14">
      <c r="B24">
        <v>18</v>
      </c>
      <c r="C24">
        <f t="shared" si="0"/>
        <v>1.8119812011718753E-4</v>
      </c>
      <c r="E24" t="s">
        <v>200</v>
      </c>
      <c r="F24" s="33">
        <f>_xlfn.BINOM.DIST(6,20,0.2,TRUE)-_xlfn.BINOM.DIST(3,20,0.2,TRUE)</f>
        <v>0.50185862447603125</v>
      </c>
      <c r="N24" s="5">
        <v>2.4000000953674316</v>
      </c>
    </row>
    <row r="25" spans="2:14">
      <c r="B25">
        <v>19</v>
      </c>
      <c r="C25">
        <f t="shared" si="0"/>
        <v>1.9073486328125E-5</v>
      </c>
      <c r="N25" s="5">
        <v>4.5</v>
      </c>
    </row>
    <row r="26" spans="2:14">
      <c r="B26">
        <v>20</v>
      </c>
      <c r="C26">
        <f t="shared" si="0"/>
        <v>9.5367431640625E-7</v>
      </c>
      <c r="N26" s="5">
        <v>4.3000001907348633</v>
      </c>
    </row>
    <row r="27" spans="2:14">
      <c r="N27" s="5">
        <v>4</v>
      </c>
    </row>
    <row r="28" spans="2:14">
      <c r="B28" t="s">
        <v>204</v>
      </c>
      <c r="I28" t="s">
        <v>206</v>
      </c>
      <c r="J28" s="33">
        <f>1-_xlfn.NORM.DIST(15.49,15.28,0.12,TRUE)</f>
        <v>4.0059156863816447E-2</v>
      </c>
      <c r="N28" s="5">
        <v>4.6999998092651367</v>
      </c>
    </row>
    <row r="29" spans="2:14">
      <c r="B29" t="s">
        <v>192</v>
      </c>
      <c r="C29" t="s">
        <v>203</v>
      </c>
      <c r="I29" t="s">
        <v>207</v>
      </c>
      <c r="J29" s="33">
        <f>_xlfn.NORM.DIST(15,15.28,0.12,TRUE)</f>
        <v>9.8153286286454741E-3</v>
      </c>
      <c r="N29" s="5">
        <v>4.3000001907348633</v>
      </c>
    </row>
    <row r="30" spans="2:14">
      <c r="B30">
        <v>-2</v>
      </c>
      <c r="C30">
        <f>_xlfn.NORM.S.DIST(B30,FALSE)</f>
        <v>5.3990966513188063E-2</v>
      </c>
      <c r="I30" t="s">
        <v>208</v>
      </c>
      <c r="J30" s="33">
        <f>_xlfn.NORM.DIST(15.4,15.28,0.12,TRUE) - _xlfn.NORM.DIST(15.09,15.28,0.12,TRUE)</f>
        <v>0.78467199145878164</v>
      </c>
      <c r="N30" s="5">
        <v>5.3000001907348633</v>
      </c>
    </row>
    <row r="31" spans="2:14">
      <c r="B31">
        <f>B30+0.4</f>
        <v>-1.6</v>
      </c>
      <c r="C31">
        <f t="shared" ref="C31:C49" si="2">_xlfn.NORM.S.DIST(B31,FALSE)</f>
        <v>0.11092083467945554</v>
      </c>
      <c r="J31" s="33"/>
      <c r="N31" s="5">
        <v>6</v>
      </c>
    </row>
    <row r="32" spans="2:14">
      <c r="B32">
        <f t="shared" ref="B32:B49" si="3">B31+0.2</f>
        <v>-1.4000000000000001</v>
      </c>
      <c r="C32">
        <f t="shared" si="2"/>
        <v>0.14972746563574482</v>
      </c>
      <c r="I32" t="s">
        <v>209</v>
      </c>
      <c r="J32" s="33">
        <f>_xlfn.NORM.DIST(11,14,2,TRUE)</f>
        <v>6.6807201268858057E-2</v>
      </c>
      <c r="N32" s="5">
        <v>4.6999998092651367</v>
      </c>
    </row>
    <row r="33" spans="2:14">
      <c r="B33">
        <f t="shared" si="3"/>
        <v>-1.2000000000000002</v>
      </c>
      <c r="C33">
        <f t="shared" si="2"/>
        <v>0.19418605498321292</v>
      </c>
      <c r="N33" s="5">
        <v>5.6999998092651367</v>
      </c>
    </row>
    <row r="34" spans="2:14">
      <c r="B34">
        <f t="shared" si="3"/>
        <v>-1.0000000000000002</v>
      </c>
      <c r="C34">
        <f t="shared" si="2"/>
        <v>0.24197072451914331</v>
      </c>
      <c r="I34" t="s">
        <v>210</v>
      </c>
      <c r="J34" s="12">
        <f>_xlfn.NORM.DIST(80,90,20,TRUE)</f>
        <v>0.30853753872598688</v>
      </c>
      <c r="N34" s="5">
        <v>5.4000000953674316</v>
      </c>
    </row>
    <row r="35" spans="2:14">
      <c r="B35">
        <f t="shared" si="3"/>
        <v>-0.80000000000000027</v>
      </c>
      <c r="C35">
        <f t="shared" si="2"/>
        <v>0.28969155276148267</v>
      </c>
      <c r="I35" t="s">
        <v>211</v>
      </c>
      <c r="J35" s="34">
        <f>_xlfn.NORM.INV(0.05,90,20)</f>
        <v>57.102927460970548</v>
      </c>
      <c r="N35" s="5">
        <v>3.7000000476837158</v>
      </c>
    </row>
    <row r="36" spans="2:14">
      <c r="B36">
        <f t="shared" si="3"/>
        <v>-0.60000000000000031</v>
      </c>
      <c r="C36">
        <f t="shared" si="2"/>
        <v>0.33322460289179962</v>
      </c>
      <c r="N36" s="5">
        <v>4.6999998092651367</v>
      </c>
    </row>
    <row r="37" spans="2:14">
      <c r="B37">
        <f t="shared" si="3"/>
        <v>-0.4000000000000003</v>
      </c>
      <c r="C37">
        <f t="shared" si="2"/>
        <v>0.36827014030332328</v>
      </c>
      <c r="N37" s="5">
        <v>5.5</v>
      </c>
    </row>
    <row r="38" spans="2:14">
      <c r="B38">
        <f t="shared" si="3"/>
        <v>-0.20000000000000029</v>
      </c>
      <c r="C38">
        <f t="shared" si="2"/>
        <v>0.39104269397545588</v>
      </c>
      <c r="N38" s="5">
        <v>5.3000001907348633</v>
      </c>
    </row>
    <row r="39" spans="2:14">
      <c r="B39">
        <v>0</v>
      </c>
      <c r="C39">
        <f t="shared" si="2"/>
        <v>0.3989422804014327</v>
      </c>
      <c r="N39" s="5">
        <v>4.1999998092651367</v>
      </c>
    </row>
    <row r="40" spans="2:14">
      <c r="B40">
        <f t="shared" si="3"/>
        <v>0.2</v>
      </c>
      <c r="C40">
        <f t="shared" si="2"/>
        <v>0.39104269397545588</v>
      </c>
      <c r="N40" s="5">
        <v>4.6999998092651367</v>
      </c>
    </row>
    <row r="41" spans="2:14">
      <c r="B41">
        <f t="shared" si="3"/>
        <v>0.4</v>
      </c>
      <c r="C41">
        <f t="shared" si="2"/>
        <v>0.36827014030332333</v>
      </c>
      <c r="N41" s="5">
        <v>4.3000001907348633</v>
      </c>
    </row>
    <row r="42" spans="2:14">
      <c r="B42">
        <f t="shared" si="3"/>
        <v>0.60000000000000009</v>
      </c>
      <c r="C42">
        <f t="shared" si="2"/>
        <v>0.33322460289179967</v>
      </c>
      <c r="E42" s="6" t="s">
        <v>205</v>
      </c>
      <c r="N42" s="5">
        <v>5.5999999046325684</v>
      </c>
    </row>
    <row r="43" spans="2:14">
      <c r="B43">
        <f t="shared" si="3"/>
        <v>0.8</v>
      </c>
      <c r="C43">
        <f t="shared" si="2"/>
        <v>0.28969155276148273</v>
      </c>
      <c r="E43">
        <f>1-_xlfn.NORM.DIST(250,220,30,TRUE)</f>
        <v>0.15865525393145696</v>
      </c>
      <c r="N43" s="5">
        <v>4.6999998092651367</v>
      </c>
    </row>
    <row r="44" spans="2:14">
      <c r="B44">
        <f t="shared" si="3"/>
        <v>1</v>
      </c>
      <c r="C44">
        <f t="shared" si="2"/>
        <v>0.24197072451914337</v>
      </c>
      <c r="E44">
        <f>1-_xlfn.NORM.S.DIST((250-220)/30,TRUE)</f>
        <v>0.15865525393145696</v>
      </c>
      <c r="N44" s="5">
        <v>4.1999998092651367</v>
      </c>
    </row>
    <row r="45" spans="2:14">
      <c r="B45">
        <f t="shared" si="3"/>
        <v>1.2</v>
      </c>
      <c r="C45">
        <f t="shared" si="2"/>
        <v>0.19418605498321295</v>
      </c>
      <c r="N45" s="5">
        <v>5.0999999046325684</v>
      </c>
    </row>
    <row r="46" spans="2:14">
      <c r="B46">
        <f t="shared" si="3"/>
        <v>1.4</v>
      </c>
      <c r="C46">
        <f t="shared" si="2"/>
        <v>0.14972746563574488</v>
      </c>
      <c r="N46" s="5">
        <v>5.8000001907348633</v>
      </c>
    </row>
    <row r="47" spans="2:14">
      <c r="B47">
        <f t="shared" si="3"/>
        <v>1.5999999999999999</v>
      </c>
      <c r="C47">
        <f t="shared" si="2"/>
        <v>0.11092083467945558</v>
      </c>
      <c r="N47" s="5">
        <v>4.0999999046325684</v>
      </c>
    </row>
    <row r="48" spans="2:14">
      <c r="B48">
        <f t="shared" si="3"/>
        <v>1.7999999999999998</v>
      </c>
      <c r="C48">
        <f t="shared" si="2"/>
        <v>7.8950158300894177E-2</v>
      </c>
      <c r="N48" s="5">
        <v>4.6999998092651367</v>
      </c>
    </row>
    <row r="49" spans="2:14">
      <c r="B49">
        <f t="shared" si="3"/>
        <v>1.9999999999999998</v>
      </c>
      <c r="C49">
        <f t="shared" si="2"/>
        <v>5.3990966513188084E-2</v>
      </c>
      <c r="N49" s="5">
        <v>4.5999999046325684</v>
      </c>
    </row>
    <row r="50" spans="2:14">
      <c r="N50" s="5">
        <v>4.6999998092651367</v>
      </c>
    </row>
    <row r="51" spans="2:14">
      <c r="N51" s="5">
        <v>4.9000000953674316</v>
      </c>
    </row>
    <row r="52" spans="2:14">
      <c r="N52" s="5">
        <v>3.7999999523162842</v>
      </c>
    </row>
    <row r="53" spans="2:14">
      <c r="N53" s="5">
        <v>4.5</v>
      </c>
    </row>
    <row r="54" spans="2:14">
      <c r="N54" s="5">
        <v>3.4000000953674316</v>
      </c>
    </row>
    <row r="55" spans="2:14">
      <c r="N55" s="5">
        <v>3</v>
      </c>
    </row>
    <row r="56" spans="2:14">
      <c r="N56" s="5">
        <v>5</v>
      </c>
    </row>
    <row r="57" spans="2:14">
      <c r="N57" s="5">
        <v>2.7999999523162842</v>
      </c>
    </row>
    <row r="58" spans="2:14">
      <c r="N58" s="5">
        <v>5</v>
      </c>
    </row>
    <row r="59" spans="2:14">
      <c r="N59" s="5">
        <v>4.5999999046325684</v>
      </c>
    </row>
    <row r="60" spans="2:14">
      <c r="N60" s="5">
        <v>3.7999999523162842</v>
      </c>
    </row>
    <row r="61" spans="2:14">
      <c r="N61" s="5">
        <v>4.0999999046325684</v>
      </c>
    </row>
    <row r="62" spans="2:14">
      <c r="N62" s="5">
        <v>4.3000001907348633</v>
      </c>
    </row>
    <row r="63" spans="2:14">
      <c r="N63" s="5">
        <v>4.9000000953674316</v>
      </c>
    </row>
    <row r="64" spans="2:14">
      <c r="N64" s="5">
        <v>5.3000001907348633</v>
      </c>
    </row>
    <row r="65" spans="14:14">
      <c r="N65" s="5">
        <v>5.6999998092651367</v>
      </c>
    </row>
    <row r="66" spans="14:14">
      <c r="N66" s="5">
        <v>4.8000001907348633</v>
      </c>
    </row>
    <row r="67" spans="14:14">
      <c r="N67" s="5">
        <v>5.0999999046325684</v>
      </c>
    </row>
    <row r="68" spans="14:14">
      <c r="N68" s="5">
        <v>4.8000001907348633</v>
      </c>
    </row>
    <row r="69" spans="14:14">
      <c r="N69" s="5">
        <v>4.0999999046325684</v>
      </c>
    </row>
    <row r="70" spans="14:14">
      <c r="N70" s="5">
        <v>4.9000000953674316</v>
      </c>
    </row>
    <row r="71" spans="14:14">
      <c r="N71" s="5">
        <v>5.1999998092651367</v>
      </c>
    </row>
    <row r="72" spans="14:14">
      <c r="N72" s="5">
        <v>5.1999998092651367</v>
      </c>
    </row>
    <row r="73" spans="14:14">
      <c r="N73" s="5">
        <v>4.6999998092651367</v>
      </c>
    </row>
    <row r="74" spans="14:14">
      <c r="N74" s="5">
        <v>5</v>
      </c>
    </row>
    <row r="75" spans="14:14">
      <c r="N75" s="5">
        <v>4.5</v>
      </c>
    </row>
    <row r="76" spans="14:14">
      <c r="N76" s="5">
        <v>4.1999998092651367</v>
      </c>
    </row>
    <row r="77" spans="14:14">
      <c r="N77" s="5">
        <v>3.0999999046325684</v>
      </c>
    </row>
    <row r="78" spans="14:14">
      <c r="N78" s="5">
        <v>2.4000000953674316</v>
      </c>
    </row>
    <row r="79" spans="14:14">
      <c r="N79" s="5">
        <v>4.5999999046325684</v>
      </c>
    </row>
    <row r="80" spans="14:14">
      <c r="N80" s="5">
        <v>4.0999999046325684</v>
      </c>
    </row>
    <row r="81" spans="14:14">
      <c r="N81" s="5">
        <v>3.5</v>
      </c>
    </row>
    <row r="82" spans="14:14">
      <c r="N82" s="5">
        <v>3.0999999046325684</v>
      </c>
    </row>
    <row r="83" spans="14:14">
      <c r="N83" s="5">
        <v>5.1999998092651367</v>
      </c>
    </row>
    <row r="84" spans="14:14">
      <c r="N84" s="5">
        <v>3.2999999523162842</v>
      </c>
    </row>
    <row r="85" spans="14:14">
      <c r="N85" s="5">
        <v>5.0999999046325684</v>
      </c>
    </row>
    <row r="86" spans="14:14">
      <c r="N86" s="5">
        <v>3.5</v>
      </c>
    </row>
    <row r="87" spans="14:14">
      <c r="N87" s="5">
        <v>5.4000000953674316</v>
      </c>
    </row>
    <row r="88" spans="14:14">
      <c r="N88" s="5">
        <v>4.3000001907348633</v>
      </c>
    </row>
    <row r="89" spans="14:14">
      <c r="N89" s="5">
        <v>4.5999999046325684</v>
      </c>
    </row>
    <row r="90" spans="14:14">
      <c r="N90" s="5">
        <v>5.6999998092651367</v>
      </c>
    </row>
    <row r="91" spans="14:14">
      <c r="N91" s="5">
        <v>5</v>
      </c>
    </row>
    <row r="92" spans="14:14">
      <c r="N92" s="5">
        <v>6.0999999046325684</v>
      </c>
    </row>
    <row r="93" spans="14:14">
      <c r="N93" s="5">
        <v>5.1999998092651367</v>
      </c>
    </row>
    <row r="94" spans="14:14">
      <c r="N94" s="5">
        <v>3.5</v>
      </c>
    </row>
    <row r="95" spans="14:14">
      <c r="N95" s="5">
        <v>4.4000000953674316</v>
      </c>
    </row>
    <row r="96" spans="14:14">
      <c r="N96" s="5">
        <v>5.0999999046325684</v>
      </c>
    </row>
    <row r="97" spans="14:14">
      <c r="N97" s="5">
        <v>5.0999999046325684</v>
      </c>
    </row>
    <row r="98" spans="14:14">
      <c r="N98" s="5">
        <v>3.5</v>
      </c>
    </row>
    <row r="99" spans="14:14">
      <c r="N99" s="5">
        <v>6.1999998092651367</v>
      </c>
    </row>
    <row r="100" spans="14:14">
      <c r="N100" s="5">
        <v>2.7999999523162842</v>
      </c>
    </row>
    <row r="101" spans="14:14">
      <c r="N101" s="5">
        <v>5.1999998092651367</v>
      </c>
    </row>
    <row r="102" spans="14:14">
      <c r="N102" s="34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3043E-4494-1F4A-9E15-4D2A4805F5C0}">
  <dimension ref="B2:D11"/>
  <sheetViews>
    <sheetView tabSelected="1" workbookViewId="0">
      <selection activeCell="B11" sqref="B11"/>
    </sheetView>
  </sheetViews>
  <sheetFormatPr baseColWidth="10" defaultRowHeight="18"/>
  <sheetData>
    <row r="2" spans="2:4">
      <c r="B2">
        <f>1-_xlfn.T.DIST.RT(1.5, 5)</f>
        <v>0.90304815987876319</v>
      </c>
      <c r="C2">
        <f>_xlfn.T.DIST.RT(1.5, 5)</f>
        <v>9.6951840121236754E-2</v>
      </c>
    </row>
    <row r="3" spans="2:4">
      <c r="B3">
        <f>1-_xlfn.T.DIST(1.5,D3,TRUE)</f>
        <v>9.695184012123681E-2</v>
      </c>
      <c r="C3">
        <f>_xlfn.T.DIST(1.5,D3,TRUE)</f>
        <v>0.90304815987876319</v>
      </c>
      <c r="D3">
        <v>5</v>
      </c>
    </row>
    <row r="4" spans="2:4">
      <c r="B4">
        <f t="shared" ref="B4:B8" si="0">1-_xlfn.T.DIST(1.5,D4,TRUE)</f>
        <v>8.2253663222720097E-2</v>
      </c>
      <c r="C4">
        <f t="shared" ref="C4:C8" si="1">_xlfn.T.DIST(1.5,D4,TRUE)</f>
        <v>0.9177463367772799</v>
      </c>
      <c r="D4">
        <v>10</v>
      </c>
    </row>
    <row r="5" spans="2:4">
      <c r="B5">
        <f t="shared" si="0"/>
        <v>7.7183330190849997E-2</v>
      </c>
      <c r="C5">
        <f t="shared" si="1"/>
        <v>0.92281666980915</v>
      </c>
      <c r="D5">
        <v>15</v>
      </c>
    </row>
    <row r="6" spans="2:4">
      <c r="B6">
        <f t="shared" si="0"/>
        <v>7.4617885584626231E-2</v>
      </c>
      <c r="C6">
        <f t="shared" si="1"/>
        <v>0.92538211441537377</v>
      </c>
      <c r="D6">
        <v>20</v>
      </c>
    </row>
    <row r="7" spans="2:4">
      <c r="B7">
        <f t="shared" si="0"/>
        <v>7.3069232569009768E-2</v>
      </c>
      <c r="C7">
        <f t="shared" si="1"/>
        <v>0.92693076743099023</v>
      </c>
      <c r="D7">
        <v>25</v>
      </c>
    </row>
    <row r="8" spans="2:4">
      <c r="B8">
        <f t="shared" si="0"/>
        <v>7.2032964564322954E-2</v>
      </c>
      <c r="C8">
        <f t="shared" si="1"/>
        <v>0.92796703543567705</v>
      </c>
      <c r="D8">
        <v>30</v>
      </c>
    </row>
    <row r="10" spans="2:4">
      <c r="B10" s="33">
        <f>1-_xlfn.CHISQ.DIST(35.17, 23, TRUE)</f>
        <v>5.0028280370564504E-2</v>
      </c>
    </row>
    <row r="11" spans="2:4">
      <c r="B11" s="33">
        <f>_xlfn.CHISQ.DIST(35.17, 23, TRUE)-_xlfn.CHISQ.DIST(10.2, 23, TRUE)</f>
        <v>0.93994224617745969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Sheet1</vt:lpstr>
      <vt:lpstr>Sheet2</vt:lpstr>
      <vt:lpstr>모평균 비교.2</vt:lpstr>
      <vt:lpstr>모평균 비교.t-paired</vt:lpstr>
      <vt:lpstr>2장 그래프</vt:lpstr>
      <vt:lpstr>3장 데이타베이스</vt:lpstr>
      <vt:lpstr>5장 표본분포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JohnSmith</dc:creator>
  <cp:lastModifiedBy>JohnSmith</cp:lastModifiedBy>
  <dcterms:created xsi:type="dcterms:W3CDTF">2019-04-20T02:47:04Z</dcterms:created>
  <dcterms:modified xsi:type="dcterms:W3CDTF">2019-06-06T08:47:40Z</dcterms:modified>
</cp:coreProperties>
</file>